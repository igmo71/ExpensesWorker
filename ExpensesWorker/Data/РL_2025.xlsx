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vadds/Documents/"/>
    </mc:Choice>
  </mc:AlternateContent>
  <xr:revisionPtr revIDLastSave="0" documentId="8_{3E952A95-1C33-D748-85EE-2CB76D68839A}" xr6:coauthVersionLast="47" xr6:coauthVersionMax="47" xr10:uidLastSave="{00000000-0000-0000-0000-000000000000}"/>
  <bookViews>
    <workbookView xWindow="16280" yWindow="2080" windowWidth="31680" windowHeight="22760" xr2:uid="{00000000-000D-0000-FFFF-FFFF00000000}"/>
  </bookViews>
  <sheets>
    <sheet name="БДР_2025" sheetId="1" r:id="rId1"/>
    <sheet name="Лист1" sheetId="2" r:id="rId2"/>
  </sheets>
  <externalReferences>
    <externalReference r:id="rId3"/>
  </externalReferences>
  <definedNames>
    <definedName name="_xlnm._FilterDatabase" localSheetId="0" hidden="1">БДР_2025!$A$1:$A$705</definedName>
    <definedName name="Курс">[1]Справочники!$G$2:$G$7</definedName>
    <definedName name="JR_PAGE_ANCHOR_0_1" localSheetId="0">#REF!</definedName>
    <definedName name="JR_PAGE_ANCHOR_0_1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  <c r="H7" i="1"/>
  <c r="G7" i="1"/>
  <c r="F7" i="1"/>
  <c r="E7" i="1"/>
  <c r="D7" i="1"/>
  <c r="C7" i="1"/>
  <c r="C51" i="1" l="1"/>
  <c r="B4" i="1" l="1"/>
  <c r="B6" i="1"/>
  <c r="D114" i="1"/>
  <c r="D123" i="1"/>
  <c r="E123" i="1"/>
  <c r="F123" i="1"/>
  <c r="G123" i="1"/>
  <c r="H123" i="1"/>
  <c r="I123" i="1"/>
  <c r="J123" i="1"/>
  <c r="K123" i="1"/>
  <c r="L123" i="1"/>
  <c r="M123" i="1"/>
  <c r="N123" i="1"/>
  <c r="N104" i="1"/>
  <c r="H104" i="1"/>
  <c r="I104" i="1"/>
  <c r="J104" i="1"/>
  <c r="K104" i="1"/>
  <c r="L104" i="1"/>
  <c r="M104" i="1"/>
  <c r="E147" i="1" l="1"/>
  <c r="F147" i="1"/>
  <c r="G147" i="1"/>
  <c r="H147" i="1"/>
  <c r="I147" i="1"/>
  <c r="J147" i="1"/>
  <c r="K147" i="1"/>
  <c r="L147" i="1"/>
  <c r="M147" i="1"/>
  <c r="N147" i="1"/>
  <c r="D110" i="1"/>
  <c r="E110" i="1"/>
  <c r="F110" i="1"/>
  <c r="G110" i="1"/>
  <c r="H110" i="1"/>
  <c r="I110" i="1"/>
  <c r="J110" i="1"/>
  <c r="K110" i="1"/>
  <c r="L110" i="1"/>
  <c r="M110" i="1"/>
  <c r="N110" i="1"/>
  <c r="C110" i="1"/>
  <c r="C63" i="1"/>
  <c r="D48" i="1"/>
  <c r="E48" i="1"/>
  <c r="F48" i="1"/>
  <c r="G48" i="1"/>
  <c r="H48" i="1"/>
  <c r="I48" i="1"/>
  <c r="J48" i="1"/>
  <c r="K48" i="1"/>
  <c r="C48" i="1"/>
  <c r="C44" i="1"/>
  <c r="C13" i="1"/>
  <c r="N29" i="1"/>
  <c r="N22" i="1"/>
  <c r="H22" i="1"/>
  <c r="I22" i="1"/>
  <c r="J22" i="1"/>
  <c r="K22" i="1"/>
  <c r="L22" i="1"/>
  <c r="M22" i="1"/>
  <c r="D29" i="1"/>
  <c r="E29" i="1"/>
  <c r="F29" i="1"/>
  <c r="G29" i="1"/>
  <c r="H29" i="1"/>
  <c r="I29" i="1"/>
  <c r="J29" i="1"/>
  <c r="K29" i="1"/>
  <c r="L29" i="1"/>
  <c r="M29" i="1"/>
  <c r="C29" i="1"/>
  <c r="H35" i="1"/>
  <c r="I35" i="1"/>
  <c r="J35" i="1"/>
  <c r="K35" i="1"/>
  <c r="L35" i="1"/>
  <c r="M35" i="1"/>
  <c r="N35" i="1"/>
  <c r="C10" i="1"/>
  <c r="B139" i="1"/>
  <c r="B140" i="1"/>
  <c r="B141" i="1"/>
  <c r="B142" i="1"/>
  <c r="B143" i="1"/>
  <c r="B144" i="1"/>
  <c r="B145" i="1"/>
  <c r="B146" i="1"/>
  <c r="J82" i="1"/>
  <c r="G85" i="1"/>
  <c r="L137" i="1"/>
  <c r="N137" i="1" l="1"/>
  <c r="D137" i="1"/>
  <c r="E137" i="1"/>
  <c r="F137" i="1"/>
  <c r="G137" i="1"/>
  <c r="H137" i="1"/>
  <c r="I137" i="1"/>
  <c r="J137" i="1"/>
  <c r="K137" i="1"/>
  <c r="M137" i="1"/>
  <c r="C137" i="1"/>
  <c r="D93" i="1" l="1"/>
  <c r="E93" i="1"/>
  <c r="F93" i="1"/>
  <c r="G93" i="1"/>
  <c r="H93" i="1"/>
  <c r="I93" i="1"/>
  <c r="J93" i="1"/>
  <c r="K93" i="1"/>
  <c r="L93" i="1"/>
  <c r="M93" i="1"/>
  <c r="N93" i="1"/>
  <c r="C93" i="1"/>
  <c r="D82" i="1"/>
  <c r="E82" i="1"/>
  <c r="F82" i="1"/>
  <c r="G82" i="1"/>
  <c r="H82" i="1"/>
  <c r="I82" i="1"/>
  <c r="K82" i="1"/>
  <c r="L82" i="1"/>
  <c r="M82" i="1"/>
  <c r="N82" i="1"/>
  <c r="C82" i="1"/>
  <c r="D74" i="1"/>
  <c r="E74" i="1"/>
  <c r="F74" i="1"/>
  <c r="G74" i="1"/>
  <c r="H74" i="1"/>
  <c r="I74" i="1"/>
  <c r="J74" i="1"/>
  <c r="K74" i="1"/>
  <c r="L74" i="1"/>
  <c r="M74" i="1"/>
  <c r="N74" i="1"/>
  <c r="C74" i="1"/>
  <c r="D63" i="1"/>
  <c r="E63" i="1"/>
  <c r="E62" i="1" s="1"/>
  <c r="F63" i="1"/>
  <c r="F62" i="1" s="1"/>
  <c r="G63" i="1"/>
  <c r="G62" i="1" s="1"/>
  <c r="H63" i="1"/>
  <c r="H62" i="1" s="1"/>
  <c r="I63" i="1"/>
  <c r="I62" i="1" s="1"/>
  <c r="J63" i="1"/>
  <c r="J62" i="1" s="1"/>
  <c r="K63" i="1"/>
  <c r="K62" i="1" s="1"/>
  <c r="L63" i="1"/>
  <c r="L62" i="1" s="1"/>
  <c r="M63" i="1"/>
  <c r="M62" i="1" s="1"/>
  <c r="N63" i="1"/>
  <c r="N62" i="1" s="1"/>
  <c r="D51" i="1"/>
  <c r="E51" i="1"/>
  <c r="F51" i="1"/>
  <c r="G51" i="1"/>
  <c r="H51" i="1"/>
  <c r="H50" i="1" s="1"/>
  <c r="H47" i="1" s="1"/>
  <c r="I51" i="1"/>
  <c r="I50" i="1" s="1"/>
  <c r="I47" i="1" s="1"/>
  <c r="J51" i="1"/>
  <c r="J50" i="1" s="1"/>
  <c r="J47" i="1" s="1"/>
  <c r="K51" i="1"/>
  <c r="K50" i="1" s="1"/>
  <c r="K47" i="1" s="1"/>
  <c r="L51" i="1"/>
  <c r="M51" i="1"/>
  <c r="N51" i="1"/>
  <c r="D44" i="1"/>
  <c r="E44" i="1"/>
  <c r="F44" i="1"/>
  <c r="G44" i="1"/>
  <c r="H44" i="1"/>
  <c r="I44" i="1"/>
  <c r="J44" i="1"/>
  <c r="K44" i="1"/>
  <c r="L44" i="1"/>
  <c r="M44" i="1"/>
  <c r="N44" i="1"/>
  <c r="D13" i="1"/>
  <c r="E13" i="1"/>
  <c r="F13" i="1"/>
  <c r="G13" i="1"/>
  <c r="H13" i="1"/>
  <c r="I13" i="1"/>
  <c r="J13" i="1"/>
  <c r="K13" i="1"/>
  <c r="L13" i="1"/>
  <c r="M13" i="1"/>
  <c r="N13" i="1"/>
  <c r="B82" i="1" l="1"/>
  <c r="M5" i="1"/>
  <c r="N5" i="1"/>
  <c r="L5" i="1"/>
  <c r="L7" i="1"/>
  <c r="M7" i="1"/>
  <c r="N7" i="1"/>
  <c r="G711" i="1"/>
  <c r="B149" i="1"/>
  <c r="D147" i="1"/>
  <c r="C147" i="1"/>
  <c r="B133" i="1"/>
  <c r="B132" i="1"/>
  <c r="B131" i="1"/>
  <c r="N130" i="1"/>
  <c r="B128" i="1"/>
  <c r="B127" i="1"/>
  <c r="B126" i="1"/>
  <c r="B124" i="1"/>
  <c r="C123" i="1"/>
  <c r="B111" i="1"/>
  <c r="B102" i="1"/>
  <c r="B95" i="1"/>
  <c r="B94" i="1"/>
  <c r="B84" i="1"/>
  <c r="B83" i="1"/>
  <c r="B76" i="1"/>
  <c r="B75" i="1"/>
  <c r="B72" i="1"/>
  <c r="C62" i="1"/>
  <c r="B65" i="1"/>
  <c r="B64" i="1"/>
  <c r="B61" i="1"/>
  <c r="B53" i="1"/>
  <c r="B52" i="1"/>
  <c r="B46" i="1"/>
  <c r="B45" i="1"/>
  <c r="B27" i="1"/>
  <c r="G22" i="1"/>
  <c r="F22" i="1"/>
  <c r="E22" i="1"/>
  <c r="D22" i="1"/>
  <c r="C22" i="1"/>
  <c r="B15" i="1"/>
  <c r="B14" i="1"/>
  <c r="B12" i="1"/>
  <c r="B11" i="1"/>
  <c r="N10" i="1"/>
  <c r="M10" i="1"/>
  <c r="L10" i="1"/>
  <c r="K10" i="1"/>
  <c r="J10" i="1"/>
  <c r="I10" i="1"/>
  <c r="H10" i="1"/>
  <c r="G10" i="1"/>
  <c r="F10" i="1"/>
  <c r="E10" i="1"/>
  <c r="D10" i="1"/>
  <c r="C3" i="1"/>
  <c r="B5" i="1" l="1"/>
  <c r="D62" i="1"/>
  <c r="B74" i="1"/>
  <c r="B93" i="1"/>
  <c r="B23" i="1"/>
  <c r="B44" i="1"/>
  <c r="B51" i="1"/>
  <c r="B60" i="1"/>
  <c r="B123" i="1"/>
  <c r="B109" i="1"/>
  <c r="B110" i="1"/>
  <c r="B13" i="1"/>
  <c r="B63" i="1"/>
  <c r="B71" i="1"/>
  <c r="B138" i="1"/>
  <c r="B147" i="1"/>
  <c r="B66" i="1"/>
  <c r="B69" i="1"/>
  <c r="B148" i="1"/>
  <c r="B99" i="1"/>
  <c r="C96" i="1"/>
  <c r="C73" i="1"/>
  <c r="D3" i="1"/>
  <c r="C85" i="1"/>
  <c r="B7" i="1"/>
  <c r="B10" i="1"/>
  <c r="C50" i="1"/>
  <c r="C47" i="1" s="1"/>
  <c r="B137" i="1"/>
  <c r="C35" i="1" l="1"/>
  <c r="C43" i="1"/>
  <c r="C16" i="1"/>
  <c r="C9" i="1" s="1"/>
  <c r="D130" i="1"/>
  <c r="D85" i="1"/>
  <c r="D73" i="1"/>
  <c r="D50" i="1"/>
  <c r="D47" i="1" s="1"/>
  <c r="E3" i="1"/>
  <c r="C104" i="1"/>
  <c r="C101" i="1" s="1"/>
  <c r="C114" i="1"/>
  <c r="C89" i="1"/>
  <c r="C130" i="1"/>
  <c r="D43" i="1" l="1"/>
  <c r="C41" i="1"/>
  <c r="C42" i="1" s="1"/>
  <c r="D89" i="1"/>
  <c r="D81" i="1" s="1"/>
  <c r="D35" i="1"/>
  <c r="D16" i="1"/>
  <c r="D96" i="1"/>
  <c r="C81" i="1"/>
  <c r="E114" i="1"/>
  <c r="E85" i="1"/>
  <c r="F3" i="1"/>
  <c r="E73" i="1"/>
  <c r="E50" i="1"/>
  <c r="E47" i="1" s="1"/>
  <c r="D104" i="1"/>
  <c r="D101" i="1" s="1"/>
  <c r="C92" i="1"/>
  <c r="E43" i="1" l="1"/>
  <c r="E96" i="1"/>
  <c r="C79" i="1"/>
  <c r="C121" i="1" s="1"/>
  <c r="C8" i="1"/>
  <c r="E35" i="1"/>
  <c r="E89" i="1"/>
  <c r="D92" i="1"/>
  <c r="E16" i="1"/>
  <c r="F114" i="1"/>
  <c r="F85" i="1"/>
  <c r="F73" i="1"/>
  <c r="F89" i="1"/>
  <c r="F50" i="1"/>
  <c r="F47" i="1" s="1"/>
  <c r="F130" i="1"/>
  <c r="G3" i="1"/>
  <c r="E104" i="1"/>
  <c r="E101" i="1" s="1"/>
  <c r="E130" i="1"/>
  <c r="D9" i="1"/>
  <c r="C80" i="1" l="1"/>
  <c r="F43" i="1"/>
  <c r="F35" i="1"/>
  <c r="D41" i="1"/>
  <c r="D42" i="1" s="1"/>
  <c r="D8" i="1"/>
  <c r="F96" i="1"/>
  <c r="F16" i="1"/>
  <c r="E9" i="1"/>
  <c r="E92" i="1"/>
  <c r="E81" i="1"/>
  <c r="G114" i="1"/>
  <c r="B108" i="1"/>
  <c r="B107" i="1"/>
  <c r="B106" i="1"/>
  <c r="B70" i="1"/>
  <c r="G96" i="1"/>
  <c r="G73" i="1"/>
  <c r="B68" i="1"/>
  <c r="B40" i="1"/>
  <c r="B39" i="1"/>
  <c r="B38" i="1"/>
  <c r="B37" i="1"/>
  <c r="B28" i="1"/>
  <c r="H3" i="1"/>
  <c r="B59" i="1"/>
  <c r="G50" i="1"/>
  <c r="G47" i="1" s="1"/>
  <c r="B34" i="1"/>
  <c r="B32" i="1"/>
  <c r="B25" i="1"/>
  <c r="B58" i="1"/>
  <c r="B33" i="1"/>
  <c r="B31" i="1"/>
  <c r="B26" i="1"/>
  <c r="F104" i="1"/>
  <c r="F101" i="1" s="1"/>
  <c r="D79" i="1" l="1"/>
  <c r="D121" i="1" s="1"/>
  <c r="D122" i="1" s="1"/>
  <c r="G43" i="1"/>
  <c r="E41" i="1"/>
  <c r="E79" i="1" s="1"/>
  <c r="E121" i="1" s="1"/>
  <c r="E122" i="1" s="1"/>
  <c r="E8" i="1"/>
  <c r="D80" i="1"/>
  <c r="G16" i="1"/>
  <c r="G35" i="1"/>
  <c r="B35" i="1" s="1"/>
  <c r="G89" i="1"/>
  <c r="F92" i="1"/>
  <c r="F9" i="1"/>
  <c r="B29" i="1"/>
  <c r="B30" i="1"/>
  <c r="G130" i="1"/>
  <c r="F81" i="1"/>
  <c r="B62" i="1"/>
  <c r="B67" i="1"/>
  <c r="H114" i="1"/>
  <c r="H130" i="1"/>
  <c r="H101" i="1"/>
  <c r="H89" i="1"/>
  <c r="H85" i="1"/>
  <c r="H73" i="1"/>
  <c r="H43" i="1" s="1"/>
  <c r="I3" i="1"/>
  <c r="B24" i="1"/>
  <c r="B36" i="1"/>
  <c r="G104" i="1"/>
  <c r="B104" i="1" s="1"/>
  <c r="B105" i="1"/>
  <c r="D135" i="1" l="1"/>
  <c r="D136" i="1" s="1"/>
  <c r="E42" i="1"/>
  <c r="H81" i="1"/>
  <c r="F41" i="1"/>
  <c r="F42" i="1" s="1"/>
  <c r="F8" i="1"/>
  <c r="E80" i="1"/>
  <c r="E135" i="1"/>
  <c r="E136" i="1" s="1"/>
  <c r="G101" i="1"/>
  <c r="G92" i="1" s="1"/>
  <c r="H16" i="1"/>
  <c r="H9" i="1" s="1"/>
  <c r="H96" i="1"/>
  <c r="B22" i="1"/>
  <c r="C135" i="1"/>
  <c r="C150" i="1" s="1"/>
  <c r="C122" i="1"/>
  <c r="G81" i="1"/>
  <c r="I130" i="1"/>
  <c r="I101" i="1"/>
  <c r="I89" i="1"/>
  <c r="I85" i="1"/>
  <c r="J3" i="1"/>
  <c r="I96" i="1"/>
  <c r="I73" i="1"/>
  <c r="I43" i="1" s="1"/>
  <c r="G9" i="1"/>
  <c r="I114" i="1" l="1"/>
  <c r="I92" i="1" s="1"/>
  <c r="F79" i="1"/>
  <c r="F121" i="1" s="1"/>
  <c r="F122" i="1" s="1"/>
  <c r="G41" i="1"/>
  <c r="G42" i="1" s="1"/>
  <c r="G8" i="1"/>
  <c r="I16" i="1"/>
  <c r="I81" i="1"/>
  <c r="H41" i="1"/>
  <c r="H92" i="1"/>
  <c r="H8" i="1" s="1"/>
  <c r="J101" i="1"/>
  <c r="J89" i="1"/>
  <c r="J85" i="1"/>
  <c r="J73" i="1"/>
  <c r="J43" i="1" s="1"/>
  <c r="J130" i="1"/>
  <c r="K3" i="1"/>
  <c r="D150" i="1"/>
  <c r="C136" i="1"/>
  <c r="G79" i="1" l="1"/>
  <c r="G121" i="1" s="1"/>
  <c r="G122" i="1" s="1"/>
  <c r="J114" i="1"/>
  <c r="F135" i="1"/>
  <c r="F136" i="1" s="1"/>
  <c r="F80" i="1"/>
  <c r="J16" i="1"/>
  <c r="J9" i="1" s="1"/>
  <c r="J81" i="1"/>
  <c r="J96" i="1"/>
  <c r="H42" i="1"/>
  <c r="H79" i="1"/>
  <c r="H121" i="1" s="1"/>
  <c r="H122" i="1" s="1"/>
  <c r="D151" i="1"/>
  <c r="C151" i="1"/>
  <c r="I9" i="1"/>
  <c r="I8" i="1" s="1"/>
  <c r="K130" i="1"/>
  <c r="K96" i="1"/>
  <c r="K73" i="1"/>
  <c r="K43" i="1" s="1"/>
  <c r="L3" i="1"/>
  <c r="K101" i="1"/>
  <c r="K85" i="1"/>
  <c r="E150" i="1"/>
  <c r="G135" i="1" l="1"/>
  <c r="G136" i="1" s="1"/>
  <c r="G80" i="1"/>
  <c r="F150" i="1"/>
  <c r="K114" i="1"/>
  <c r="K92" i="1" s="1"/>
  <c r="H80" i="1"/>
  <c r="H135" i="1"/>
  <c r="K89" i="1"/>
  <c r="K81" i="1" s="1"/>
  <c r="J92" i="1"/>
  <c r="J8" i="1" s="1"/>
  <c r="K16" i="1"/>
  <c r="K9" i="1" s="1"/>
  <c r="I41" i="1"/>
  <c r="J41" i="1"/>
  <c r="E151" i="1"/>
  <c r="L130" i="1"/>
  <c r="L101" i="1"/>
  <c r="L85" i="1"/>
  <c r="L73" i="1"/>
  <c r="L89" i="1"/>
  <c r="L48" i="1"/>
  <c r="M3" i="1"/>
  <c r="G150" i="1" l="1"/>
  <c r="G151" i="1" s="1"/>
  <c r="F151" i="1"/>
  <c r="L114" i="1"/>
  <c r="K8" i="1"/>
  <c r="H150" i="1"/>
  <c r="H136" i="1"/>
  <c r="L16" i="1"/>
  <c r="L9" i="1" s="1"/>
  <c r="K41" i="1"/>
  <c r="L50" i="1"/>
  <c r="L81" i="1"/>
  <c r="L96" i="1"/>
  <c r="J42" i="1"/>
  <c r="J79" i="1"/>
  <c r="J121" i="1" s="1"/>
  <c r="J122" i="1" s="1"/>
  <c r="I79" i="1"/>
  <c r="I42" i="1"/>
  <c r="B125" i="1"/>
  <c r="B100" i="1"/>
  <c r="B78" i="1"/>
  <c r="M101" i="1"/>
  <c r="M85" i="1"/>
  <c r="M48" i="1"/>
  <c r="N3" i="1"/>
  <c r="M96" i="1"/>
  <c r="M73" i="1"/>
  <c r="B113" i="1"/>
  <c r="M114" i="1" l="1"/>
  <c r="M92" i="1" s="1"/>
  <c r="H151" i="1"/>
  <c r="I121" i="1"/>
  <c r="I122" i="1" s="1"/>
  <c r="J80" i="1"/>
  <c r="J135" i="1"/>
  <c r="M16" i="1"/>
  <c r="M9" i="1" s="1"/>
  <c r="M50" i="1"/>
  <c r="M47" i="1" s="1"/>
  <c r="M43" i="1" s="1"/>
  <c r="M89" i="1"/>
  <c r="M81" i="1" s="1"/>
  <c r="L41" i="1"/>
  <c r="L92" i="1"/>
  <c r="K79" i="1"/>
  <c r="K121" i="1" s="1"/>
  <c r="K122" i="1" s="1"/>
  <c r="K42" i="1"/>
  <c r="I80" i="1"/>
  <c r="L47" i="1"/>
  <c r="M130" i="1"/>
  <c r="B130" i="1" s="1"/>
  <c r="B134" i="1"/>
  <c r="B120" i="1"/>
  <c r="B118" i="1"/>
  <c r="B116" i="1"/>
  <c r="B117" i="1"/>
  <c r="B112" i="1"/>
  <c r="B91" i="1"/>
  <c r="B86" i="1"/>
  <c r="B98" i="1"/>
  <c r="B87" i="1"/>
  <c r="B56" i="1"/>
  <c r="B55" i="1"/>
  <c r="B20" i="1"/>
  <c r="B18" i="1"/>
  <c r="B119" i="1"/>
  <c r="B57" i="1"/>
  <c r="B21" i="1"/>
  <c r="B19" i="1"/>
  <c r="B115" i="1" l="1"/>
  <c r="N114" i="1"/>
  <c r="B114" i="1" s="1"/>
  <c r="M8" i="1"/>
  <c r="J150" i="1"/>
  <c r="J151" i="1" s="1"/>
  <c r="J136" i="1"/>
  <c r="I135" i="1"/>
  <c r="B103" i="1"/>
  <c r="N101" i="1"/>
  <c r="B101" i="1" s="1"/>
  <c r="K80" i="1"/>
  <c r="K135" i="1"/>
  <c r="B49" i="1"/>
  <c r="N48" i="1"/>
  <c r="N16" i="1"/>
  <c r="N9" i="1" s="1"/>
  <c r="B77" i="1"/>
  <c r="N73" i="1"/>
  <c r="B73" i="1" s="1"/>
  <c r="B88" i="1"/>
  <c r="N85" i="1"/>
  <c r="B97" i="1"/>
  <c r="N96" i="1"/>
  <c r="M41" i="1"/>
  <c r="B54" i="1"/>
  <c r="N50" i="1"/>
  <c r="B50" i="1" s="1"/>
  <c r="B90" i="1"/>
  <c r="N89" i="1"/>
  <c r="B89" i="1" s="1"/>
  <c r="L43" i="1"/>
  <c r="L42" i="1"/>
  <c r="B17" i="1"/>
  <c r="L79" i="1" l="1"/>
  <c r="L121" i="1" s="1"/>
  <c r="L122" i="1" s="1"/>
  <c r="L8" i="1"/>
  <c r="K150" i="1"/>
  <c r="K151" i="1" s="1"/>
  <c r="K136" i="1"/>
  <c r="I150" i="1"/>
  <c r="I136" i="1"/>
  <c r="M79" i="1"/>
  <c r="M121" i="1" s="1"/>
  <c r="M122" i="1" s="1"/>
  <c r="M42" i="1"/>
  <c r="N92" i="1"/>
  <c r="B92" i="1" s="1"/>
  <c r="B96" i="1"/>
  <c r="N81" i="1"/>
  <c r="B81" i="1" s="1"/>
  <c r="B85" i="1"/>
  <c r="N47" i="1"/>
  <c r="N43" i="1" s="1"/>
  <c r="B48" i="1"/>
  <c r="B16" i="1"/>
  <c r="L80" i="1" l="1"/>
  <c r="N8" i="1"/>
  <c r="B8" i="1" s="1"/>
  <c r="I151" i="1"/>
  <c r="M80" i="1"/>
  <c r="M135" i="1"/>
  <c r="L135" i="1"/>
  <c r="L136" i="1" s="1"/>
  <c r="N41" i="1"/>
  <c r="N79" i="1" s="1"/>
  <c r="B43" i="1"/>
  <c r="B47" i="1"/>
  <c r="B9" i="1"/>
  <c r="M150" i="1" l="1"/>
  <c r="M151" i="1" s="1"/>
  <c r="M136" i="1"/>
  <c r="L150" i="1"/>
  <c r="N42" i="1"/>
  <c r="N121" i="1"/>
  <c r="N122" i="1" s="1"/>
  <c r="B41" i="1"/>
  <c r="B42" i="1" s="1"/>
  <c r="N135" i="1" l="1"/>
  <c r="N136" i="1" s="1"/>
  <c r="B121" i="1"/>
  <c r="B122" i="1" s="1"/>
  <c r="L151" i="1"/>
  <c r="N80" i="1"/>
  <c r="B79" i="1"/>
  <c r="B80" i="1" s="1"/>
  <c r="N150" i="1" l="1"/>
  <c r="B150" i="1" s="1"/>
  <c r="B135" i="1"/>
  <c r="B136" i="1" s="1"/>
  <c r="N151" i="1" l="1"/>
  <c r="B151" i="1"/>
</calcChain>
</file>

<file path=xl/sharedStrings.xml><?xml version="1.0" encoding="utf-8"?>
<sst xmlns="http://schemas.openxmlformats.org/spreadsheetml/2006/main" count="157" uniqueCount="136">
  <si>
    <t>Наименование ЦФО:</t>
  </si>
  <si>
    <t>МГ ДОБРОГА</t>
  </si>
  <si>
    <t>Наименование статьи бюджета</t>
  </si>
  <si>
    <t>Выручка</t>
  </si>
  <si>
    <t>Себестоимость товара</t>
  </si>
  <si>
    <t>Валовая прибыль</t>
  </si>
  <si>
    <t>Маржа валовой прибыли</t>
  </si>
  <si>
    <t>РАСХОДЫ</t>
  </si>
  <si>
    <t>Коммерческие и маркетинговые расходы</t>
  </si>
  <si>
    <t>Оплата труда дирекции продаж</t>
  </si>
  <si>
    <t>Переменная часть</t>
  </si>
  <si>
    <t>Оплата труда дирекции закупок</t>
  </si>
  <si>
    <t>Маркетинговые расходы</t>
  </si>
  <si>
    <t>Трафик</t>
  </si>
  <si>
    <t>Разработка фирменного стиля</t>
  </si>
  <si>
    <t>Образцы продукции для демонстрации</t>
  </si>
  <si>
    <t>Мерч</t>
  </si>
  <si>
    <t>Содержание складов-магазинов</t>
  </si>
  <si>
    <t>Аренда складов-магазинов</t>
  </si>
  <si>
    <t>Содержание помещений складов-магазинов</t>
  </si>
  <si>
    <t>Содержание техники и оборудования складов-магазинов</t>
  </si>
  <si>
    <t>Расходники складов-магазинов</t>
  </si>
  <si>
    <t>Спецодежда и СИЗ</t>
  </si>
  <si>
    <t>Офисная мебель и оргтехника</t>
  </si>
  <si>
    <t>Расходы на продажу</t>
  </si>
  <si>
    <t>Участие в тендерах, эл.площадках</t>
  </si>
  <si>
    <t>Сертификация продукции, перевод документов</t>
  </si>
  <si>
    <t>Командировочные и представит-е расходы комм.персонала</t>
  </si>
  <si>
    <t>Расходы на расширение АКБ</t>
  </si>
  <si>
    <t>Подарки клиентам</t>
  </si>
  <si>
    <t>E-com</t>
  </si>
  <si>
    <t>Развитие и содержание личного кабинета</t>
  </si>
  <si>
    <t>Развитие текущего ИМ</t>
  </si>
  <si>
    <t>Развитие и содержание сайтов</t>
  </si>
  <si>
    <t>Контекстная и таргетированая реклама</t>
  </si>
  <si>
    <t>Маркетплейсы</t>
  </si>
  <si>
    <t>Коммерческая прибыль</t>
  </si>
  <si>
    <t>Маржа коммерческой прибыли</t>
  </si>
  <si>
    <t>Логистические расходы</t>
  </si>
  <si>
    <t>Оплата труда логистического персонала (ФОТ Директора)</t>
  </si>
  <si>
    <t xml:space="preserve">Транспортные расходы </t>
  </si>
  <si>
    <t>Доставка товара РФ</t>
  </si>
  <si>
    <t>Услуги транспортных компаний</t>
  </si>
  <si>
    <t>Содержание собственного транспорта</t>
  </si>
  <si>
    <t>Оплата труда персонала (транспорт)</t>
  </si>
  <si>
    <t>Командировочные расходы водителей</t>
  </si>
  <si>
    <t>Информационные услуги+лицензии (GPS+ati.su+TMS)</t>
  </si>
  <si>
    <t>Платные дороги и GPS</t>
  </si>
  <si>
    <t>ГСМ</t>
  </si>
  <si>
    <t>ТО, ремонт и запчасти</t>
  </si>
  <si>
    <t>Предрейсовый осмотр водителей</t>
  </si>
  <si>
    <t>Страхование</t>
  </si>
  <si>
    <t>Складские расходы</t>
  </si>
  <si>
    <t>Оплата труда персонала (склады)</t>
  </si>
  <si>
    <t>Аренда склада</t>
  </si>
  <si>
    <t>Содержание складских помещений и территории</t>
  </si>
  <si>
    <t>Обслуживание техники и оборудования</t>
  </si>
  <si>
    <t>Расходники для склада</t>
  </si>
  <si>
    <t>Недостачи на складе</t>
  </si>
  <si>
    <t>Информационные услуги+лицензии+ремонт IT оборудования (WMS)</t>
  </si>
  <si>
    <t>Расходы фасовки</t>
  </si>
  <si>
    <t>Оплата труда персонала (фасовка)</t>
  </si>
  <si>
    <t>Содержание техники и оборудования</t>
  </si>
  <si>
    <t>Материалы для фасовки</t>
  </si>
  <si>
    <t>Производственная прибыль</t>
  </si>
  <si>
    <t>Маржа производственной прибыли</t>
  </si>
  <si>
    <t>Расходы на содержание и эксплуатацию IT</t>
  </si>
  <si>
    <t>Оплата труда IT персонала</t>
  </si>
  <si>
    <t>Содержание компьютерной и орг.техники</t>
  </si>
  <si>
    <t>Приобретение комп. и орг.техники</t>
  </si>
  <si>
    <t>Ремонт и ТО компьютерной и орг.техники</t>
  </si>
  <si>
    <t>Система видеонаблюдения</t>
  </si>
  <si>
    <t>Владение и разработка ПО</t>
  </si>
  <si>
    <t>Расходы на приобретение и владение ПО</t>
  </si>
  <si>
    <t>Расходы на разработку и внедрение ПО</t>
  </si>
  <si>
    <t>Управленческие расходы</t>
  </si>
  <si>
    <t>Оплата труда адм.-управленческого персонала</t>
  </si>
  <si>
    <t>Расходы на персонал</t>
  </si>
  <si>
    <t>Услуги  по подбору и оценке персонала</t>
  </si>
  <si>
    <t>Обучение и повышение квалификации</t>
  </si>
  <si>
    <t>Корпоративные мероприятия</t>
  </si>
  <si>
    <t>Охрана труда ,прочие расходы на персонал</t>
  </si>
  <si>
    <t>Содержание и обслуживание офиса</t>
  </si>
  <si>
    <t>Аренда  офиса</t>
  </si>
  <si>
    <t>Расходы на содержание офиса и территории</t>
  </si>
  <si>
    <t xml:space="preserve">Обеспечение жизнедеятельности офиса </t>
  </si>
  <si>
    <t>Интернет и телефония</t>
  </si>
  <si>
    <t>Услуги почты, курьеров</t>
  </si>
  <si>
    <t>Канц. товары и расходные материалы для офиса</t>
  </si>
  <si>
    <t>Вода</t>
  </si>
  <si>
    <t>Офисная мебель</t>
  </si>
  <si>
    <t>Услуги банков</t>
  </si>
  <si>
    <t>Экваринг</t>
  </si>
  <si>
    <t>РКО</t>
  </si>
  <si>
    <t>Расходы по валютным операциям</t>
  </si>
  <si>
    <t>Прочие управленческие расходы</t>
  </si>
  <si>
    <t>Консалтинг и аудит</t>
  </si>
  <si>
    <t>Нотариальные,судебные и орг.расходы</t>
  </si>
  <si>
    <t>Командировочные и представит-е расходы админ-управл персонала</t>
  </si>
  <si>
    <t>Социальные расходы, благотворительность</t>
  </si>
  <si>
    <t>Расходы на ЭДО, доступ к онлайн-платформам</t>
  </si>
  <si>
    <t>Штрафы, пени, неустойки</t>
  </si>
  <si>
    <t>OIBDA (опер. Прибыль + амортизация)</t>
  </si>
  <si>
    <t>Маржа OIBDA</t>
  </si>
  <si>
    <t>Прочие доходы</t>
  </si>
  <si>
    <t>Складские излишки</t>
  </si>
  <si>
    <t>Проценты полученные</t>
  </si>
  <si>
    <t>Аренда ТС (ИП СГИ)</t>
  </si>
  <si>
    <t>Коммерческие рейсы</t>
  </si>
  <si>
    <t>IT консалтинг</t>
  </si>
  <si>
    <t>Доходы от продажи ОС</t>
  </si>
  <si>
    <t>Прочие расходы</t>
  </si>
  <si>
    <t>Проценты за кредит</t>
  </si>
  <si>
    <t>Курсовые разницы</t>
  </si>
  <si>
    <t>Недостача от поставщика</t>
  </si>
  <si>
    <t>Услуги платежного агента</t>
  </si>
  <si>
    <t>EBITDA (чистая прибыль+налоги+прочие расходы)</t>
  </si>
  <si>
    <t>Маржа EBITDA</t>
  </si>
  <si>
    <t xml:space="preserve">Налоги </t>
  </si>
  <si>
    <t>Налоги УСН</t>
  </si>
  <si>
    <t>Налог на прибыль</t>
  </si>
  <si>
    <t>Транспортный налог</t>
  </si>
  <si>
    <t>Фиксированные взносы ИП</t>
  </si>
  <si>
    <t>Взносы 1% от превышения доходов 300 тыс.</t>
  </si>
  <si>
    <t>Расходы по инвестиционной деятельности</t>
  </si>
  <si>
    <t>Лизинговые платежи</t>
  </si>
  <si>
    <t>Расходы на покупку ОС</t>
  </si>
  <si>
    <t>Чистая прибыль</t>
  </si>
  <si>
    <t>Маржа чистой прибыли</t>
  </si>
  <si>
    <t>Оклад</t>
  </si>
  <si>
    <t>НДС</t>
  </si>
  <si>
    <t>Экологические сборы</t>
  </si>
  <si>
    <t>НДФЛ</t>
  </si>
  <si>
    <t>Все Инструменты.ру (бонусы)</t>
  </si>
  <si>
    <t>Страховые взносы с ЗП</t>
  </si>
  <si>
    <t>Тип расходов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</si>
</sst>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.0%"/>
  </numFmts>
  <fonts count="44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i/>
      <sz val="12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sz val="8"/>
      <name val="Arial"/>
      <family val="2"/>
    </font>
    <font>
      <sz val="9"/>
      <name val="Arial"/>
      <family val="2"/>
      <charset val="204"/>
    </font>
    <font>
      <sz val="9"/>
      <name val="Arial"/>
      <family val="2"/>
    </font>
    <font>
      <b/>
      <sz val="12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Tahoma"/>
      <family val="2"/>
      <charset val="204"/>
    </font>
    <font>
      <sz val="9"/>
      <name val="Arial Regula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3" tint="0.79998168889431442"/>
        <bgColor rgb="FFE2EFD9"/>
      </patternFill>
    </fill>
    <fill>
      <patternFill patternType="solid">
        <fgColor theme="9" tint="0.79998168889431442"/>
        <bgColor rgb="FFE2EF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2" tint="-9.9978637043366805E-2"/>
        <bgColor rgb="FFDEEAF6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2" tint="-0.749961851863155"/>
      </left>
      <right/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9" fontId="20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7" borderId="9" applyNumberFormat="0" applyAlignment="0" applyProtection="0"/>
    <xf numFmtId="0" fontId="28" fillId="18" borderId="10" applyNumberFormat="0" applyAlignment="0" applyProtection="0"/>
    <xf numFmtId="0" fontId="29" fillId="18" borderId="9" applyNumberFormat="0" applyAlignment="0" applyProtection="0"/>
    <xf numFmtId="0" fontId="30" fillId="0" borderId="11" applyNumberFormat="0" applyFill="0" applyAlignment="0" applyProtection="0"/>
    <xf numFmtId="0" fontId="31" fillId="19" borderId="1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" fillId="0" borderId="14" applyNumberFormat="0" applyFill="0" applyAlignment="0" applyProtection="0"/>
    <xf numFmtId="0" fontId="3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4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4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35" fillId="0" borderId="0"/>
    <xf numFmtId="0" fontId="1" fillId="20" borderId="13" applyNumberFormat="0" applyFont="0" applyAlignment="0" applyProtection="0"/>
    <xf numFmtId="43" fontId="1" fillId="0" borderId="0" applyFont="0" applyFill="0" applyBorder="0" applyAlignment="0" applyProtection="0"/>
    <xf numFmtId="0" fontId="37" fillId="0" borderId="0"/>
    <xf numFmtId="0" fontId="36" fillId="0" borderId="0"/>
    <xf numFmtId="0" fontId="35" fillId="0" borderId="0"/>
    <xf numFmtId="0" fontId="38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40" fillId="0" borderId="0"/>
    <xf numFmtId="44" fontId="1" fillId="0" borderId="0" applyFont="0" applyFill="0" applyBorder="0" applyAlignment="0" applyProtection="0"/>
    <xf numFmtId="0" fontId="41" fillId="0" borderId="0" applyNumberFormat="0" applyFill="0" applyBorder="0" applyProtection="0">
      <alignment horizontal="center"/>
    </xf>
    <xf numFmtId="0" fontId="20" fillId="0" borderId="0"/>
    <xf numFmtId="9" fontId="20" fillId="0" borderId="0" applyFont="0" applyFill="0" applyBorder="0" applyAlignment="0" applyProtection="0"/>
    <xf numFmtId="0" fontId="42" fillId="0" borderId="0" applyBorder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/>
  </cellStyleXfs>
  <cellXfs count="68">
    <xf numFmtId="0" fontId="0" fillId="0" borderId="0" xfId="0"/>
    <xf numFmtId="0" fontId="5" fillId="0" borderId="0" xfId="2" applyFont="1"/>
    <xf numFmtId="0" fontId="6" fillId="2" borderId="0" xfId="2" applyFont="1" applyFill="1" applyAlignment="1">
      <alignment horizontal="right"/>
    </xf>
    <xf numFmtId="3" fontId="3" fillId="3" borderId="1" xfId="2" applyNumberFormat="1" applyFill="1" applyBorder="1" applyAlignment="1">
      <alignment horizontal="center"/>
    </xf>
    <xf numFmtId="0" fontId="3" fillId="0" borderId="0" xfId="2"/>
    <xf numFmtId="0" fontId="7" fillId="0" borderId="0" xfId="2" applyFont="1" applyAlignment="1">
      <alignment horizontal="right"/>
    </xf>
    <xf numFmtId="0" fontId="7" fillId="0" borderId="0" xfId="2" applyFont="1" applyAlignment="1">
      <alignment horizontal="left"/>
    </xf>
    <xf numFmtId="38" fontId="3" fillId="0" borderId="0" xfId="2" applyNumberFormat="1"/>
    <xf numFmtId="0" fontId="8" fillId="0" borderId="2" xfId="2" applyFont="1" applyBorder="1"/>
    <xf numFmtId="0" fontId="8" fillId="0" borderId="2" xfId="2" applyFont="1" applyBorder="1" applyAlignment="1">
      <alignment horizontal="right" vertical="center"/>
    </xf>
    <xf numFmtId="17" fontId="7" fillId="2" borderId="2" xfId="2" applyNumberFormat="1" applyFont="1" applyFill="1" applyBorder="1" applyAlignment="1">
      <alignment horizontal="right" vertical="center"/>
    </xf>
    <xf numFmtId="0" fontId="9" fillId="4" borderId="3" xfId="2" applyFont="1" applyFill="1" applyBorder="1"/>
    <xf numFmtId="38" fontId="10" fillId="4" borderId="3" xfId="2" applyNumberFormat="1" applyFont="1" applyFill="1" applyBorder="1" applyAlignment="1">
      <alignment horizontal="right"/>
    </xf>
    <xf numFmtId="0" fontId="11" fillId="5" borderId="3" xfId="2" applyFont="1" applyFill="1" applyBorder="1"/>
    <xf numFmtId="38" fontId="11" fillId="5" borderId="3" xfId="2" applyNumberFormat="1" applyFont="1" applyFill="1" applyBorder="1" applyAlignment="1">
      <alignment horizontal="right"/>
    </xf>
    <xf numFmtId="0" fontId="10" fillId="6" borderId="3" xfId="2" applyFont="1" applyFill="1" applyBorder="1"/>
    <xf numFmtId="38" fontId="10" fillId="6" borderId="3" xfId="2" applyNumberFormat="1" applyFont="1" applyFill="1" applyBorder="1" applyAlignment="1">
      <alignment horizontal="right"/>
    </xf>
    <xf numFmtId="0" fontId="12" fillId="7" borderId="3" xfId="2" applyFont="1" applyFill="1" applyBorder="1"/>
    <xf numFmtId="164" fontId="13" fillId="7" borderId="3" xfId="2" applyNumberFormat="1" applyFont="1" applyFill="1" applyBorder="1" applyAlignment="1">
      <alignment horizontal="right" wrapText="1"/>
    </xf>
    <xf numFmtId="38" fontId="8" fillId="8" borderId="1" xfId="0" applyNumberFormat="1" applyFont="1" applyFill="1" applyBorder="1" applyAlignment="1">
      <alignment horizontal="right" vertical="center"/>
    </xf>
    <xf numFmtId="3" fontId="3" fillId="0" borderId="0" xfId="2" applyNumberFormat="1"/>
    <xf numFmtId="38" fontId="8" fillId="4" borderId="1" xfId="0" applyNumberFormat="1" applyFont="1" applyFill="1" applyBorder="1" applyAlignment="1">
      <alignment horizontal="right" vertical="center"/>
    </xf>
    <xf numFmtId="0" fontId="14" fillId="9" borderId="4" xfId="2" applyFont="1" applyFill="1" applyBorder="1" applyAlignment="1">
      <alignment horizontal="left" vertical="top" indent="1"/>
    </xf>
    <xf numFmtId="38" fontId="7" fillId="9" borderId="1" xfId="0" applyNumberFormat="1" applyFont="1" applyFill="1" applyBorder="1" applyAlignment="1">
      <alignment horizontal="right" vertical="center"/>
    </xf>
    <xf numFmtId="0" fontId="14" fillId="3" borderId="4" xfId="2" applyFont="1" applyFill="1" applyBorder="1" applyAlignment="1">
      <alignment horizontal="left" vertical="top" indent="2"/>
    </xf>
    <xf numFmtId="3" fontId="7" fillId="10" borderId="1" xfId="0" applyNumberFormat="1" applyFont="1" applyFill="1" applyBorder="1"/>
    <xf numFmtId="0" fontId="14" fillId="11" borderId="4" xfId="2" applyFont="1" applyFill="1" applyBorder="1" applyAlignment="1">
      <alignment horizontal="left" vertical="top" indent="2"/>
    </xf>
    <xf numFmtId="4" fontId="3" fillId="0" borderId="0" xfId="2" applyNumberFormat="1"/>
    <xf numFmtId="38" fontId="10" fillId="6" borderId="3" xfId="0" applyNumberFormat="1" applyFont="1" applyFill="1" applyBorder="1" applyAlignment="1">
      <alignment horizontal="right"/>
    </xf>
    <xf numFmtId="164" fontId="13" fillId="7" borderId="3" xfId="0" applyNumberFormat="1" applyFont="1" applyFill="1" applyBorder="1" applyAlignment="1">
      <alignment horizontal="right" wrapText="1"/>
    </xf>
    <xf numFmtId="0" fontId="14" fillId="12" borderId="4" xfId="0" applyFont="1" applyFill="1" applyBorder="1" applyAlignment="1">
      <alignment horizontal="left" vertical="top" indent="1"/>
    </xf>
    <xf numFmtId="0" fontId="14" fillId="12" borderId="4" xfId="0" applyFont="1" applyFill="1" applyBorder="1" applyAlignment="1">
      <alignment horizontal="left" vertical="top" indent="2"/>
    </xf>
    <xf numFmtId="0" fontId="14" fillId="3" borderId="4" xfId="0" applyFont="1" applyFill="1" applyBorder="1" applyAlignment="1">
      <alignment horizontal="left" vertical="top" indent="3"/>
    </xf>
    <xf numFmtId="0" fontId="14" fillId="3" borderId="4" xfId="0" applyFont="1" applyFill="1" applyBorder="1" applyAlignment="1">
      <alignment horizontal="left" vertical="top" indent="4"/>
    </xf>
    <xf numFmtId="0" fontId="14" fillId="3" borderId="4" xfId="0" applyFont="1" applyFill="1" applyBorder="1" applyAlignment="1">
      <alignment horizontal="left" vertical="top" indent="2"/>
    </xf>
    <xf numFmtId="0" fontId="14" fillId="3" borderId="4" xfId="2" applyFont="1" applyFill="1" applyBorder="1" applyAlignment="1">
      <alignment horizontal="left" vertical="top" indent="3"/>
    </xf>
    <xf numFmtId="0" fontId="14" fillId="3" borderId="0" xfId="2" applyFont="1" applyFill="1" applyAlignment="1">
      <alignment horizontal="left" vertical="top" indent="2"/>
    </xf>
    <xf numFmtId="3" fontId="7" fillId="10" borderId="0" xfId="0" applyNumberFormat="1" applyFont="1" applyFill="1"/>
    <xf numFmtId="0" fontId="14" fillId="3" borderId="4" xfId="2" applyFont="1" applyFill="1" applyBorder="1" applyAlignment="1">
      <alignment horizontal="left" vertical="top" indent="1"/>
    </xf>
    <xf numFmtId="4" fontId="17" fillId="0" borderId="5" xfId="3" applyNumberFormat="1" applyFont="1" applyBorder="1" applyAlignment="1">
      <alignment horizontal="right" vertical="top" wrapText="1"/>
    </xf>
    <xf numFmtId="0" fontId="14" fillId="3" borderId="0" xfId="2" applyFont="1" applyFill="1" applyAlignment="1">
      <alignment horizontal="left" vertical="top" indent="1"/>
    </xf>
    <xf numFmtId="10" fontId="13" fillId="7" borderId="3" xfId="2" applyNumberFormat="1" applyFont="1" applyFill="1" applyBorder="1" applyAlignment="1">
      <alignment horizontal="right" wrapText="1"/>
    </xf>
    <xf numFmtId="38" fontId="10" fillId="4" borderId="3" xfId="0" applyNumberFormat="1" applyFont="1" applyFill="1" applyBorder="1" applyAlignment="1">
      <alignment horizontal="right"/>
    </xf>
    <xf numFmtId="0" fontId="18" fillId="13" borderId="4" xfId="0" applyFont="1" applyFill="1" applyBorder="1" applyAlignment="1">
      <alignment horizontal="left" vertical="top" indent="1"/>
    </xf>
    <xf numFmtId="0" fontId="19" fillId="0" borderId="0" xfId="0" applyFont="1"/>
    <xf numFmtId="0" fontId="20" fillId="0" borderId="0" xfId="0" applyFont="1"/>
    <xf numFmtId="9" fontId="2" fillId="0" borderId="0" xfId="1" applyFont="1"/>
    <xf numFmtId="4" fontId="16" fillId="0" borderId="5" xfId="4" applyNumberFormat="1" applyFont="1" applyBorder="1" applyAlignment="1">
      <alignment horizontal="right" vertical="top" wrapText="1"/>
    </xf>
    <xf numFmtId="0" fontId="16" fillId="0" borderId="5" xfId="4" applyFont="1" applyBorder="1" applyAlignment="1">
      <alignment horizontal="right" vertical="top" wrapText="1"/>
    </xf>
    <xf numFmtId="0" fontId="2" fillId="0" borderId="0" xfId="2" applyFont="1"/>
    <xf numFmtId="2" fontId="16" fillId="0" borderId="5" xfId="4" applyNumberFormat="1" applyFont="1" applyBorder="1" applyAlignment="1">
      <alignment horizontal="right" vertical="top" wrapText="1"/>
    </xf>
    <xf numFmtId="0" fontId="14" fillId="3" borderId="0" xfId="2" applyFont="1" applyFill="1"/>
    <xf numFmtId="0" fontId="4" fillId="0" borderId="0" xfId="2" applyFont="1"/>
    <xf numFmtId="38" fontId="10" fillId="48" borderId="3" xfId="2" applyNumberFormat="1" applyFont="1" applyFill="1" applyBorder="1" applyAlignment="1">
      <alignment horizontal="right"/>
    </xf>
    <xf numFmtId="3" fontId="1" fillId="45" borderId="1" xfId="38" applyNumberFormat="1" applyFill="1" applyBorder="1"/>
    <xf numFmtId="3" fontId="7" fillId="45" borderId="1" xfId="0" applyNumberFormat="1" applyFont="1" applyFill="1" applyBorder="1"/>
    <xf numFmtId="38" fontId="10" fillId="48" borderId="3" xfId="0" applyNumberFormat="1" applyFont="1" applyFill="1" applyBorder="1" applyAlignment="1">
      <alignment horizontal="right"/>
    </xf>
    <xf numFmtId="38" fontId="7" fillId="46" borderId="1" xfId="0" applyNumberFormat="1" applyFont="1" applyFill="1" applyBorder="1" applyAlignment="1">
      <alignment horizontal="right" vertical="center"/>
    </xf>
    <xf numFmtId="38" fontId="11" fillId="47" borderId="3" xfId="2" applyNumberFormat="1" applyFont="1" applyFill="1" applyBorder="1" applyAlignment="1">
      <alignment horizontal="right"/>
    </xf>
    <xf numFmtId="38" fontId="10" fillId="46" borderId="3" xfId="2" applyNumberFormat="1" applyFont="1" applyFill="1" applyBorder="1" applyAlignment="1">
      <alignment horizontal="right"/>
    </xf>
    <xf numFmtId="164" fontId="13" fillId="47" borderId="3" xfId="2" applyNumberFormat="1" applyFont="1" applyFill="1" applyBorder="1" applyAlignment="1">
      <alignment horizontal="right" wrapText="1"/>
    </xf>
    <xf numFmtId="38" fontId="10" fillId="46" borderId="3" xfId="0" applyNumberFormat="1" applyFont="1" applyFill="1" applyBorder="1" applyAlignment="1">
      <alignment horizontal="right"/>
    </xf>
    <xf numFmtId="3" fontId="7" fillId="45" borderId="0" xfId="0" applyNumberFormat="1" applyFont="1" applyFill="1"/>
    <xf numFmtId="164" fontId="13" fillId="47" borderId="3" xfId="0" applyNumberFormat="1" applyFont="1" applyFill="1" applyBorder="1" applyAlignment="1">
      <alignment horizontal="right" wrapText="1"/>
    </xf>
    <xf numFmtId="17" fontId="7" fillId="45" borderId="2" xfId="2" applyNumberFormat="1" applyFont="1" applyFill="1" applyBorder="1" applyAlignment="1">
      <alignment horizontal="right" vertical="center"/>
    </xf>
    <xf numFmtId="38" fontId="8" fillId="46" borderId="1" xfId="0" applyNumberFormat="1" applyFont="1" applyFill="1" applyBorder="1" applyAlignment="1">
      <alignment horizontal="right" vertical="center"/>
    </xf>
    <xf numFmtId="3" fontId="1" fillId="10" borderId="1" xfId="38" applyNumberFormat="1" applyFill="1" applyBorder="1"/>
    <xf numFmtId="0" fontId="43" fillId="0" borderId="0" xfId="0" applyFont="1"/>
  </cellXfs>
  <cellStyles count="67">
    <cellStyle name="_styleColumnHeader" xfId="56" xr:uid="{00000000-0005-0000-0000-000000000000}"/>
    <cellStyle name="20% — акцент1" xfId="21" builtinId="30" customBuiltin="1"/>
    <cellStyle name="20% — акцент2" xfId="24" builtinId="34" customBuiltin="1"/>
    <cellStyle name="20% — акцент3" xfId="27" builtinId="38" customBuiltin="1"/>
    <cellStyle name="20% — акцент4" xfId="30" builtinId="42" customBuiltin="1"/>
    <cellStyle name="20% — акцент5" xfId="33" builtinId="46" customBuiltin="1"/>
    <cellStyle name="20% — акцент6" xfId="36" builtinId="50" customBuiltin="1"/>
    <cellStyle name="40% — акцент1" xfId="22" builtinId="31" customBuiltin="1"/>
    <cellStyle name="40% — акцент2" xfId="25" builtinId="35" customBuiltin="1"/>
    <cellStyle name="40% — акцент3" xfId="28" builtinId="39" customBuiltin="1"/>
    <cellStyle name="40% — акцент4" xfId="31" builtinId="43" customBuiltin="1"/>
    <cellStyle name="40% — акцент5" xfId="34" builtinId="47" customBuiltin="1"/>
    <cellStyle name="40% — акцент6" xfId="37" builtinId="51" customBuiltin="1"/>
    <cellStyle name="60% — акцент1 2" xfId="46" xr:uid="{00000000-0005-0000-0000-00000D000000}"/>
    <cellStyle name="60% — акцент2 2" xfId="47" xr:uid="{00000000-0005-0000-0000-00000E000000}"/>
    <cellStyle name="60% — акцент3 2" xfId="48" xr:uid="{00000000-0005-0000-0000-00000F000000}"/>
    <cellStyle name="60% — акцент4 2" xfId="49" xr:uid="{00000000-0005-0000-0000-000010000000}"/>
    <cellStyle name="60% — акцент5 2" xfId="50" xr:uid="{00000000-0005-0000-0000-000011000000}"/>
    <cellStyle name="60% — акцент6 2" xfId="51" xr:uid="{00000000-0005-0000-0000-000012000000}"/>
    <cellStyle name="Акцент1" xfId="20" builtinId="29" customBuiltin="1"/>
    <cellStyle name="Акцент2" xfId="23" builtinId="33" customBuiltin="1"/>
    <cellStyle name="Акцент3" xfId="26" builtinId="37" customBuiltin="1"/>
    <cellStyle name="Акцент4" xfId="29" builtinId="41" customBuiltin="1"/>
    <cellStyle name="Акцент5" xfId="32" builtinId="45" customBuiltin="1"/>
    <cellStyle name="Акцент6" xfId="35" builtinId="49" customBuiltin="1"/>
    <cellStyle name="Ввод " xfId="12" builtinId="20" customBuiltin="1"/>
    <cellStyle name="Вывод" xfId="13" builtinId="21" customBuiltin="1"/>
    <cellStyle name="Вычисление" xfId="14" builtinId="22" customBuiltin="1"/>
    <cellStyle name="Денежный 2" xfId="55" xr:uid="{00000000-0005-0000-0000-00001C000000}"/>
    <cellStyle name="Денежный 3" xfId="62" xr:uid="{00000000-0005-0000-0000-00001D000000}"/>
    <cellStyle name="Денежный 4" xfId="65" xr:uid="{00000000-0005-0000-0000-00001E000000}"/>
    <cellStyle name="Заголовок 1" xfId="6" builtinId="16" customBuiltin="1"/>
    <cellStyle name="Заголовок 2" xfId="7" builtinId="17" customBuiltin="1"/>
    <cellStyle name="Заголовок 3" xfId="8" builtinId="18" customBuiltin="1"/>
    <cellStyle name="Заголовок 4" xfId="9" builtinId="19" customBuiltin="1"/>
    <cellStyle name="Итог" xfId="19" builtinId="25" customBuiltin="1"/>
    <cellStyle name="Контрольная ячейка" xfId="16" builtinId="23" customBuiltin="1"/>
    <cellStyle name="Название" xfId="5" builtinId="15" customBuiltin="1"/>
    <cellStyle name="Нейтральный 2" xfId="45" xr:uid="{00000000-0005-0000-0000-000026000000}"/>
    <cellStyle name="Обычный" xfId="0" builtinId="0"/>
    <cellStyle name="Обычный 2" xfId="39" xr:uid="{00000000-0005-0000-0000-000028000000}"/>
    <cellStyle name="Обычный 2 2" xfId="44" xr:uid="{00000000-0005-0000-0000-000029000000}"/>
    <cellStyle name="Обычный 2 3" xfId="54" xr:uid="{00000000-0005-0000-0000-00002A000000}"/>
    <cellStyle name="Обычный 2 4" xfId="43" xr:uid="{00000000-0005-0000-0000-00002B000000}"/>
    <cellStyle name="Обычный 3" xfId="52" xr:uid="{00000000-0005-0000-0000-00002C000000}"/>
    <cellStyle name="Обычный 4" xfId="42" xr:uid="{00000000-0005-0000-0000-00002D000000}"/>
    <cellStyle name="Обычный 4 2" xfId="66" xr:uid="{00000000-0005-0000-0000-00002E000000}"/>
    <cellStyle name="Обычный 5" xfId="2" xr:uid="{00000000-0005-0000-0000-00002F000000}"/>
    <cellStyle name="Обычный 5 2" xfId="57" xr:uid="{00000000-0005-0000-0000-000030000000}"/>
    <cellStyle name="Обычный 6" xfId="59" xr:uid="{00000000-0005-0000-0000-000031000000}"/>
    <cellStyle name="Обычный 7" xfId="38" xr:uid="{00000000-0005-0000-0000-000032000000}"/>
    <cellStyle name="Обычный_БДР_2024" xfId="4" xr:uid="{00000000-0005-0000-0000-000033000000}"/>
    <cellStyle name="Обычный_БДР_2025" xfId="3" xr:uid="{00000000-0005-0000-0000-000034000000}"/>
    <cellStyle name="Плохой" xfId="11" builtinId="27" customBuiltin="1"/>
    <cellStyle name="Пояснение" xfId="18" builtinId="53" customBuiltin="1"/>
    <cellStyle name="Примечание 2" xfId="40" xr:uid="{00000000-0005-0000-0000-000037000000}"/>
    <cellStyle name="Процентный" xfId="1" builtinId="5"/>
    <cellStyle name="Процентный 2" xfId="53" xr:uid="{00000000-0005-0000-0000-000039000000}"/>
    <cellStyle name="Процентный 3" xfId="58" xr:uid="{00000000-0005-0000-0000-00003A000000}"/>
    <cellStyle name="Процентный 4" xfId="60" xr:uid="{00000000-0005-0000-0000-00003B000000}"/>
    <cellStyle name="Процентный 5" xfId="63" xr:uid="{00000000-0005-0000-0000-00003C000000}"/>
    <cellStyle name="Связанная ячейка" xfId="15" builtinId="24" customBuiltin="1"/>
    <cellStyle name="Текст предупреждения" xfId="17" builtinId="11" customBuiltin="1"/>
    <cellStyle name="Финансовый 2" xfId="61" xr:uid="{00000000-0005-0000-0000-00003F000000}"/>
    <cellStyle name="Финансовый 3" xfId="41" xr:uid="{00000000-0005-0000-0000-000040000000}"/>
    <cellStyle name="Финансовый 4" xfId="64" xr:uid="{00000000-0005-0000-0000-000041000000}"/>
    <cellStyle name="Хороший" xfId="10" builtinId="26" customBuiltin="1"/>
  </cellStyles>
  <dxfs count="7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vetlanaguschina/Bitrix24/&#1060;&#1048;&#1053;&#1040;&#1053;&#1057;&#1067;%20&#1080;%20&#1041;&#1091;&#1093;&#1075;&#1072;&#1083;&#1090;&#1077;&#1088;&#1080;&#1103;/&#1091;&#1087;&#1088;&#1072;&#1074;&#1083;&#1077;&#1085;&#1095;&#1077;&#1089;&#1082;&#1080;&#1077;%20&#1086;&#1090;&#1095;&#1077;&#1090;&#1099;/&#1041;&#1044;&#1056;_&#1041;&#1044;&#1044;&#1057;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НСИ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outlinePr summaryBelow="0"/>
  </sheetPr>
  <dimension ref="A1:N711"/>
  <sheetViews>
    <sheetView tabSelected="1" zoomScale="110" zoomScaleNormal="110" workbookViewId="0">
      <pane xSplit="1" ySplit="3" topLeftCell="B4" activePane="bottomRight" state="frozen"/>
      <selection pane="topRight" activeCell="C1" sqref="C1"/>
      <selection pane="bottomLeft" activeCell="A2" sqref="A2"/>
      <selection pane="bottomRight" activeCell="A14" sqref="A14"/>
    </sheetView>
  </sheetViews>
  <sheetFormatPr baseColWidth="10" defaultColWidth="8.83203125" defaultRowHeight="16" outlineLevelRow="5"/>
  <cols>
    <col min="1" max="1" width="73.83203125" style="51" customWidth="1"/>
    <col min="2" max="2" width="17.5" style="52" customWidth="1"/>
    <col min="3" max="3" width="14.1640625" style="4" customWidth="1"/>
    <col min="4" max="5" width="13.83203125" style="4" customWidth="1"/>
    <col min="6" max="7" width="14.5" style="4" customWidth="1"/>
    <col min="8" max="8" width="17.33203125" style="4" customWidth="1"/>
    <col min="9" max="9" width="13.6640625" style="4" customWidth="1"/>
    <col min="10" max="10" width="14.1640625" style="4" customWidth="1"/>
    <col min="11" max="11" width="13.6640625" style="4" customWidth="1"/>
    <col min="12" max="13" width="13" style="4" customWidth="1"/>
    <col min="14" max="14" width="16.33203125" style="4" customWidth="1"/>
    <col min="15" max="16384" width="8.83203125" style="4"/>
  </cols>
  <sheetData>
    <row r="1" spans="1:14" ht="18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>
      <c r="A2" s="5" t="s">
        <v>0</v>
      </c>
      <c r="B2" s="6" t="s">
        <v>1</v>
      </c>
      <c r="C2" s="7"/>
      <c r="D2" s="7"/>
      <c r="F2" s="7"/>
      <c r="G2" s="7"/>
      <c r="H2" s="7"/>
      <c r="N2" s="7"/>
    </row>
    <row r="3" spans="1:14" ht="28.25" customHeight="1">
      <c r="A3" s="8" t="s">
        <v>2</v>
      </c>
      <c r="B3" s="9">
        <v>2025</v>
      </c>
      <c r="C3" s="10">
        <f>DATE(B3,1,1)</f>
        <v>45658</v>
      </c>
      <c r="D3" s="10">
        <f>EOMONTH(C3,0)+1</f>
        <v>45689</v>
      </c>
      <c r="E3" s="10">
        <f t="shared" ref="E3:N3" si="0">EOMONTH(D3,0)+1</f>
        <v>45717</v>
      </c>
      <c r="F3" s="10">
        <f t="shared" si="0"/>
        <v>45748</v>
      </c>
      <c r="G3" s="10">
        <f t="shared" si="0"/>
        <v>45778</v>
      </c>
      <c r="H3" s="10">
        <f t="shared" si="0"/>
        <v>45809</v>
      </c>
      <c r="I3" s="10">
        <f t="shared" si="0"/>
        <v>45839</v>
      </c>
      <c r="J3" s="10">
        <f>EOMONTH(I3,0)+1</f>
        <v>45870</v>
      </c>
      <c r="K3" s="10">
        <f t="shared" si="0"/>
        <v>45901</v>
      </c>
      <c r="L3" s="64">
        <f t="shared" si="0"/>
        <v>45931</v>
      </c>
      <c r="M3" s="64">
        <f t="shared" si="0"/>
        <v>45962</v>
      </c>
      <c r="N3" s="64">
        <f t="shared" si="0"/>
        <v>45992</v>
      </c>
    </row>
    <row r="4" spans="1:14" ht="15.5" customHeight="1">
      <c r="A4" s="11" t="s">
        <v>3</v>
      </c>
      <c r="B4" s="12">
        <f>SUM(C4:N4)</f>
        <v>1279878621.1700001</v>
      </c>
      <c r="C4" s="12">
        <v>78485800.729999989</v>
      </c>
      <c r="D4" s="12">
        <v>86218938.889999986</v>
      </c>
      <c r="E4" s="12">
        <v>100077626.42</v>
      </c>
      <c r="F4" s="12">
        <v>116725491.92999995</v>
      </c>
      <c r="G4" s="12">
        <v>116652779.80000004</v>
      </c>
      <c r="H4" s="12">
        <v>118718522.43000001</v>
      </c>
      <c r="I4" s="12">
        <v>129829962.58999996</v>
      </c>
      <c r="J4" s="12">
        <v>117301279.92000003</v>
      </c>
      <c r="K4" s="12">
        <v>129959944.26000001</v>
      </c>
      <c r="L4" s="59">
        <v>123960559.78</v>
      </c>
      <c r="M4" s="59">
        <v>90205608.469999999</v>
      </c>
      <c r="N4" s="59">
        <v>71742105.950000003</v>
      </c>
    </row>
    <row r="5" spans="1:14" ht="15.5" customHeight="1">
      <c r="A5" s="13" t="s">
        <v>4</v>
      </c>
      <c r="B5" s="14">
        <f>SUM(C5:N5)</f>
        <v>963623622.59981751</v>
      </c>
      <c r="C5" s="14">
        <v>55623768.339572564</v>
      </c>
      <c r="D5" s="14">
        <v>61744590.188962638</v>
      </c>
      <c r="E5" s="14">
        <v>72709141.965436488</v>
      </c>
      <c r="F5" s="14">
        <v>85847638.353804737</v>
      </c>
      <c r="G5" s="14">
        <v>87369341.48733227</v>
      </c>
      <c r="H5" s="14">
        <v>89588197.731295168</v>
      </c>
      <c r="I5" s="14">
        <v>97961312.236766085</v>
      </c>
      <c r="J5" s="14">
        <v>89761791.828106061</v>
      </c>
      <c r="K5" s="14">
        <v>99184356.571651518</v>
      </c>
      <c r="L5" s="58">
        <f>L4-L6</f>
        <v>96813197.18818</v>
      </c>
      <c r="M5" s="58">
        <f>M4-M6</f>
        <v>70630991.432009995</v>
      </c>
      <c r="N5" s="58">
        <f>N4-N6</f>
        <v>56389295.276700005</v>
      </c>
    </row>
    <row r="6" spans="1:14" ht="15.5" customHeight="1">
      <c r="A6" s="15" t="s">
        <v>5</v>
      </c>
      <c r="B6" s="16">
        <f>SUM(C6:N6)</f>
        <v>315461730.14559656</v>
      </c>
      <c r="C6" s="16">
        <v>22937559.562210113</v>
      </c>
      <c r="D6" s="16">
        <v>24639614.31899371</v>
      </c>
      <c r="E6" s="16">
        <v>27369682.709231988</v>
      </c>
      <c r="F6" s="16">
        <v>30613273.231222879</v>
      </c>
      <c r="G6" s="16">
        <v>28949810.628112659</v>
      </c>
      <c r="H6" s="16">
        <v>28693273.259238839</v>
      </c>
      <c r="I6" s="16">
        <v>31868650.3532339</v>
      </c>
      <c r="J6" s="16">
        <v>27539488.091894001</v>
      </c>
      <c r="K6" s="16">
        <v>30775587.688348487</v>
      </c>
      <c r="L6" s="53">
        <v>27147362.591819998</v>
      </c>
      <c r="M6" s="53">
        <v>19574617.03799</v>
      </c>
      <c r="N6" s="53">
        <v>15352810.6733</v>
      </c>
    </row>
    <row r="7" spans="1:14" ht="15.5" customHeight="1">
      <c r="A7" s="17" t="s">
        <v>6</v>
      </c>
      <c r="B7" s="18">
        <f t="shared" ref="B7:N7" si="1">B6/B4</f>
        <v>0.24647784948327167</v>
      </c>
      <c r="C7" s="18">
        <f t="shared" ref="C7:K7" si="2">C6/C4</f>
        <v>0.29225107406520456</v>
      </c>
      <c r="D7" s="18">
        <f t="shared" si="2"/>
        <v>0.28577960522605678</v>
      </c>
      <c r="E7" s="18">
        <f t="shared" si="2"/>
        <v>0.2734845308417736</v>
      </c>
      <c r="F7" s="18">
        <f t="shared" si="2"/>
        <v>0.26226724535529566</v>
      </c>
      <c r="G7" s="18">
        <f t="shared" si="2"/>
        <v>0.24817077379336183</v>
      </c>
      <c r="H7" s="18">
        <f t="shared" si="2"/>
        <v>0.24169163052174317</v>
      </c>
      <c r="I7" s="18">
        <f t="shared" si="2"/>
        <v>0.245464526966509</v>
      </c>
      <c r="J7" s="18">
        <f t="shared" si="2"/>
        <v>0.2347756828457119</v>
      </c>
      <c r="K7" s="18">
        <f t="shared" si="2"/>
        <v>0.23680825552508963</v>
      </c>
      <c r="L7" s="60">
        <f t="shared" si="1"/>
        <v>0.21899999999999997</v>
      </c>
      <c r="M7" s="60">
        <f t="shared" si="1"/>
        <v>0.217</v>
      </c>
      <c r="N7" s="60">
        <f t="shared" si="1"/>
        <v>0.214</v>
      </c>
    </row>
    <row r="8" spans="1:14" ht="15.5" customHeight="1">
      <c r="A8" s="11" t="s">
        <v>7</v>
      </c>
      <c r="B8" s="19">
        <f t="shared" ref="B8:B41" si="3">SUM(C8:N8)</f>
        <v>381286928.61390007</v>
      </c>
      <c r="C8" s="19">
        <f>C9+C43+C81+C92+C130+C137+C147-C123</f>
        <v>23699509.530000001</v>
      </c>
      <c r="D8" s="19">
        <f t="shared" ref="D8:M8" si="4">D9+D43+D81+D92+D130+D137+D147-D123</f>
        <v>25262139.269999996</v>
      </c>
      <c r="E8" s="19">
        <f t="shared" si="4"/>
        <v>38548676.399999999</v>
      </c>
      <c r="F8" s="19">
        <f t="shared" si="4"/>
        <v>29273141.830399998</v>
      </c>
      <c r="G8" s="19">
        <f t="shared" si="4"/>
        <v>26573492.249999996</v>
      </c>
      <c r="H8" s="19">
        <f t="shared" si="4"/>
        <v>40839675.049999997</v>
      </c>
      <c r="I8" s="19">
        <f t="shared" si="4"/>
        <v>28204125.780000001</v>
      </c>
      <c r="J8" s="19">
        <f t="shared" si="4"/>
        <v>27963851.16</v>
      </c>
      <c r="K8" s="19">
        <f t="shared" si="4"/>
        <v>48161231.480000004</v>
      </c>
      <c r="L8" s="65">
        <f t="shared" si="4"/>
        <v>26925804.526000001</v>
      </c>
      <c r="M8" s="65">
        <f t="shared" si="4"/>
        <v>25773952.357500002</v>
      </c>
      <c r="N8" s="65">
        <f>N9+N43+N81+N92+N130+N137+N147-N123</f>
        <v>40061328.980000004</v>
      </c>
    </row>
    <row r="9" spans="1:14" ht="15.5" customHeight="1">
      <c r="A9" s="11" t="s">
        <v>8</v>
      </c>
      <c r="B9" s="12">
        <f t="shared" si="3"/>
        <v>90883288.360466659</v>
      </c>
      <c r="C9" s="21">
        <f>C10+C13+C16+C22+C29+C35</f>
        <v>7354578.5399999991</v>
      </c>
      <c r="D9" s="21">
        <f t="shared" ref="D9:M9" si="5">D10+D13+D16+D22+D29+D35</f>
        <v>7176529.3200000003</v>
      </c>
      <c r="E9" s="21">
        <f t="shared" si="5"/>
        <v>7241482.9800000004</v>
      </c>
      <c r="F9" s="21">
        <f t="shared" si="5"/>
        <v>9282186.7087999992</v>
      </c>
      <c r="G9" s="21">
        <f t="shared" si="5"/>
        <v>7491345.6799999997</v>
      </c>
      <c r="H9" s="21">
        <f t="shared" si="5"/>
        <v>7356205.75</v>
      </c>
      <c r="I9" s="21">
        <f t="shared" si="5"/>
        <v>8660509.5399999991</v>
      </c>
      <c r="J9" s="21">
        <f t="shared" si="5"/>
        <v>7137557.54</v>
      </c>
      <c r="K9" s="21">
        <f t="shared" si="5"/>
        <v>7253655.7400000002</v>
      </c>
      <c r="L9" s="65">
        <f t="shared" si="5"/>
        <v>7284709.2816666663</v>
      </c>
      <c r="M9" s="65">
        <f t="shared" si="5"/>
        <v>7047263.6400000006</v>
      </c>
      <c r="N9" s="65">
        <f>N10+N13+N16+N22+N29+N35</f>
        <v>7597263.6400000006</v>
      </c>
    </row>
    <row r="10" spans="1:14" ht="15.5" customHeight="1" outlineLevel="1" collapsed="1">
      <c r="A10" s="22" t="s">
        <v>9</v>
      </c>
      <c r="B10" s="12">
        <f t="shared" si="3"/>
        <v>49461871</v>
      </c>
      <c r="C10" s="23">
        <f>SUM(C11:C12)</f>
        <v>3607225</v>
      </c>
      <c r="D10" s="23">
        <f t="shared" ref="D10:N10" si="6">SUM(D11:D12)</f>
        <v>3726611</v>
      </c>
      <c r="E10" s="23">
        <f t="shared" si="6"/>
        <v>4081580</v>
      </c>
      <c r="F10" s="23">
        <f t="shared" si="6"/>
        <v>4709967</v>
      </c>
      <c r="G10" s="23">
        <f t="shared" si="6"/>
        <v>4419030</v>
      </c>
      <c r="H10" s="23">
        <f t="shared" si="6"/>
        <v>4406442</v>
      </c>
      <c r="I10" s="23">
        <f t="shared" si="6"/>
        <v>4363045</v>
      </c>
      <c r="J10" s="23">
        <f t="shared" si="6"/>
        <v>3977661</v>
      </c>
      <c r="K10" s="23">
        <f t="shared" si="6"/>
        <v>4185282</v>
      </c>
      <c r="L10" s="57">
        <f t="shared" si="6"/>
        <v>4061676</v>
      </c>
      <c r="M10" s="57">
        <f t="shared" si="6"/>
        <v>3961676</v>
      </c>
      <c r="N10" s="57">
        <f t="shared" si="6"/>
        <v>3961676</v>
      </c>
    </row>
    <row r="11" spans="1:14" ht="15.5" hidden="1" customHeight="1" outlineLevel="2">
      <c r="A11" s="24" t="s">
        <v>129</v>
      </c>
      <c r="B11" s="12">
        <f t="shared" si="3"/>
        <v>38312383</v>
      </c>
      <c r="C11" s="25">
        <v>2906360</v>
      </c>
      <c r="D11" s="25">
        <v>2985711</v>
      </c>
      <c r="E11" s="25">
        <v>3329254</v>
      </c>
      <c r="F11" s="25">
        <v>3502905</v>
      </c>
      <c r="G11" s="25">
        <v>3350807</v>
      </c>
      <c r="H11" s="25">
        <v>3299002</v>
      </c>
      <c r="I11" s="25">
        <v>3245030</v>
      </c>
      <c r="J11" s="25">
        <v>3046610</v>
      </c>
      <c r="K11" s="25">
        <v>3161676</v>
      </c>
      <c r="L11" s="55">
        <v>3161676</v>
      </c>
      <c r="M11" s="55">
        <v>3161676</v>
      </c>
      <c r="N11" s="55">
        <v>3161676</v>
      </c>
    </row>
    <row r="12" spans="1:14" ht="15.5" hidden="1" customHeight="1" outlineLevel="2">
      <c r="A12" s="24" t="s">
        <v>10</v>
      </c>
      <c r="B12" s="12">
        <f t="shared" si="3"/>
        <v>11149488</v>
      </c>
      <c r="C12" s="25">
        <v>700865</v>
      </c>
      <c r="D12" s="25">
        <v>740900</v>
      </c>
      <c r="E12" s="25">
        <v>752326</v>
      </c>
      <c r="F12" s="25">
        <v>1207062</v>
      </c>
      <c r="G12" s="25">
        <v>1068223</v>
      </c>
      <c r="H12" s="25">
        <v>1107440</v>
      </c>
      <c r="I12" s="25">
        <v>1118015</v>
      </c>
      <c r="J12" s="25">
        <v>931051</v>
      </c>
      <c r="K12" s="25">
        <v>1023606</v>
      </c>
      <c r="L12" s="55">
        <v>900000</v>
      </c>
      <c r="M12" s="55">
        <v>800000</v>
      </c>
      <c r="N12" s="55">
        <v>800000</v>
      </c>
    </row>
    <row r="13" spans="1:14" ht="15.5" customHeight="1" outlineLevel="1" collapsed="1">
      <c r="A13" s="22" t="s">
        <v>11</v>
      </c>
      <c r="B13" s="12">
        <f t="shared" si="3"/>
        <v>9046358</v>
      </c>
      <c r="C13" s="23">
        <f>SUM(C14:C15)</f>
        <v>736283</v>
      </c>
      <c r="D13" s="23">
        <f t="shared" ref="D13:N13" si="7">SUM(D14:D15)</f>
        <v>706930</v>
      </c>
      <c r="E13" s="23">
        <f t="shared" si="7"/>
        <v>685996</v>
      </c>
      <c r="F13" s="23">
        <f t="shared" si="7"/>
        <v>704915</v>
      </c>
      <c r="G13" s="23">
        <f t="shared" si="7"/>
        <v>705315</v>
      </c>
      <c r="H13" s="23">
        <f t="shared" si="7"/>
        <v>763675</v>
      </c>
      <c r="I13" s="23">
        <f t="shared" si="7"/>
        <v>802747</v>
      </c>
      <c r="J13" s="23">
        <f t="shared" si="7"/>
        <v>781917</v>
      </c>
      <c r="K13" s="23">
        <f t="shared" si="7"/>
        <v>789645</v>
      </c>
      <c r="L13" s="57">
        <f t="shared" si="7"/>
        <v>789645</v>
      </c>
      <c r="M13" s="57">
        <f t="shared" si="7"/>
        <v>789645</v>
      </c>
      <c r="N13" s="57">
        <f t="shared" si="7"/>
        <v>789645</v>
      </c>
    </row>
    <row r="14" spans="1:14" ht="15.5" hidden="1" customHeight="1" outlineLevel="2">
      <c r="A14" s="24" t="s">
        <v>129</v>
      </c>
      <c r="B14" s="12">
        <f t="shared" si="3"/>
        <v>9046358</v>
      </c>
      <c r="C14" s="25">
        <v>736283</v>
      </c>
      <c r="D14" s="25">
        <v>706930</v>
      </c>
      <c r="E14" s="25">
        <v>685996</v>
      </c>
      <c r="F14" s="25">
        <v>704915</v>
      </c>
      <c r="G14" s="25">
        <v>705315</v>
      </c>
      <c r="H14" s="25">
        <v>763675</v>
      </c>
      <c r="I14" s="25">
        <v>802747</v>
      </c>
      <c r="J14" s="25">
        <v>781917</v>
      </c>
      <c r="K14" s="25">
        <v>789645</v>
      </c>
      <c r="L14" s="55">
        <v>789645</v>
      </c>
      <c r="M14" s="55">
        <v>789645</v>
      </c>
      <c r="N14" s="55">
        <v>789645</v>
      </c>
    </row>
    <row r="15" spans="1:14" ht="15.5" hidden="1" customHeight="1" outlineLevel="2">
      <c r="A15" s="24" t="s">
        <v>10</v>
      </c>
      <c r="B15" s="12">
        <f t="shared" si="3"/>
        <v>0</v>
      </c>
      <c r="C15" s="25"/>
      <c r="D15" s="25"/>
      <c r="E15" s="25"/>
      <c r="F15" s="25"/>
      <c r="G15" s="25"/>
      <c r="H15" s="25"/>
      <c r="I15" s="25"/>
      <c r="J15" s="25"/>
      <c r="K15" s="25"/>
      <c r="L15" s="55"/>
      <c r="M15" s="55"/>
      <c r="N15" s="55"/>
    </row>
    <row r="16" spans="1:14" ht="15.5" customHeight="1" outlineLevel="1" collapsed="1">
      <c r="A16" s="22" t="s">
        <v>12</v>
      </c>
      <c r="B16" s="12">
        <f t="shared" si="3"/>
        <v>3794565.1000000006</v>
      </c>
      <c r="C16" s="23">
        <f>SUM(C17:C21)</f>
        <v>818875.3</v>
      </c>
      <c r="D16" s="23">
        <f t="shared" ref="D16:N16" si="8">SUM(D17:D21)</f>
        <v>487425.77</v>
      </c>
      <c r="E16" s="23">
        <f t="shared" si="8"/>
        <v>20300</v>
      </c>
      <c r="F16" s="23">
        <f t="shared" si="8"/>
        <v>1388984.6600000001</v>
      </c>
      <c r="G16" s="23">
        <f t="shared" si="8"/>
        <v>0</v>
      </c>
      <c r="H16" s="23">
        <f t="shared" si="8"/>
        <v>0</v>
      </c>
      <c r="I16" s="23">
        <f t="shared" si="8"/>
        <v>1062179.3700000001</v>
      </c>
      <c r="J16" s="23">
        <f t="shared" si="8"/>
        <v>16800</v>
      </c>
      <c r="K16" s="23">
        <f t="shared" si="8"/>
        <v>0</v>
      </c>
      <c r="L16" s="57">
        <f t="shared" si="8"/>
        <v>0</v>
      </c>
      <c r="M16" s="57">
        <f t="shared" si="8"/>
        <v>0</v>
      </c>
      <c r="N16" s="57">
        <f t="shared" si="8"/>
        <v>0</v>
      </c>
    </row>
    <row r="17" spans="1:14" ht="15.5" hidden="1" customHeight="1" outlineLevel="2">
      <c r="A17" s="24" t="s">
        <v>133</v>
      </c>
      <c r="B17" s="12">
        <f t="shared" si="3"/>
        <v>3757465.1000000006</v>
      </c>
      <c r="C17" s="25">
        <v>818875.3</v>
      </c>
      <c r="D17" s="25">
        <v>487425.77</v>
      </c>
      <c r="E17" s="25">
        <v>0</v>
      </c>
      <c r="F17" s="25">
        <v>1388984.6600000001</v>
      </c>
      <c r="G17" s="25">
        <v>0</v>
      </c>
      <c r="H17" s="25">
        <v>0</v>
      </c>
      <c r="I17" s="25">
        <v>1062179.3700000001</v>
      </c>
      <c r="J17" s="25">
        <v>0</v>
      </c>
      <c r="K17" s="25">
        <v>0</v>
      </c>
      <c r="L17" s="55">
        <v>0</v>
      </c>
      <c r="M17" s="55">
        <v>0</v>
      </c>
      <c r="N17" s="55">
        <v>0</v>
      </c>
    </row>
    <row r="18" spans="1:14" ht="15.5" hidden="1" customHeight="1" outlineLevel="2">
      <c r="A18" s="24" t="s">
        <v>13</v>
      </c>
      <c r="B18" s="12">
        <f t="shared" si="3"/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55">
        <v>0</v>
      </c>
      <c r="M18" s="55">
        <v>0</v>
      </c>
      <c r="N18" s="55">
        <v>0</v>
      </c>
    </row>
    <row r="19" spans="1:14" ht="15.5" hidden="1" customHeight="1" outlineLevel="2">
      <c r="A19" s="26" t="s">
        <v>14</v>
      </c>
      <c r="B19" s="12">
        <f t="shared" si="3"/>
        <v>37100</v>
      </c>
      <c r="C19" s="25">
        <v>0</v>
      </c>
      <c r="D19" s="25">
        <v>0</v>
      </c>
      <c r="E19" s="25">
        <v>20300</v>
      </c>
      <c r="F19" s="25">
        <v>0</v>
      </c>
      <c r="G19" s="25">
        <v>0</v>
      </c>
      <c r="H19" s="25">
        <v>0</v>
      </c>
      <c r="I19" s="25">
        <v>0</v>
      </c>
      <c r="J19" s="25">
        <v>16800</v>
      </c>
      <c r="K19" s="25">
        <v>0</v>
      </c>
      <c r="L19" s="55">
        <v>0</v>
      </c>
      <c r="M19" s="55">
        <v>0</v>
      </c>
      <c r="N19" s="55">
        <v>0</v>
      </c>
    </row>
    <row r="20" spans="1:14" ht="15.5" hidden="1" customHeight="1" outlineLevel="2">
      <c r="A20" s="24" t="s">
        <v>15</v>
      </c>
      <c r="B20" s="12">
        <f t="shared" si="3"/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55">
        <v>0</v>
      </c>
      <c r="M20" s="55">
        <v>0</v>
      </c>
      <c r="N20" s="55">
        <v>0</v>
      </c>
    </row>
    <row r="21" spans="1:14" hidden="1" outlineLevel="2">
      <c r="A21" s="24" t="s">
        <v>16</v>
      </c>
      <c r="B21" s="12">
        <f t="shared" si="3"/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55">
        <v>0</v>
      </c>
      <c r="M21" s="55">
        <v>0</v>
      </c>
      <c r="N21" s="55">
        <v>0</v>
      </c>
    </row>
    <row r="22" spans="1:14" outlineLevel="1" collapsed="1">
      <c r="A22" s="22" t="s">
        <v>17</v>
      </c>
      <c r="B22" s="12">
        <f t="shared" si="3"/>
        <v>27929479.260466665</v>
      </c>
      <c r="C22" s="23">
        <f>SUM(C23:C28)</f>
        <v>2170351.2399999998</v>
      </c>
      <c r="D22" s="23">
        <f t="shared" ref="D22:M22" si="9">SUM(D23:D28)</f>
        <v>2245458.5500000003</v>
      </c>
      <c r="E22" s="23">
        <f t="shared" si="9"/>
        <v>2445009.98</v>
      </c>
      <c r="F22" s="23">
        <f t="shared" si="9"/>
        <v>2468312.0488</v>
      </c>
      <c r="G22" s="23">
        <f t="shared" si="9"/>
        <v>2359800.6800000002</v>
      </c>
      <c r="H22" s="23">
        <f t="shared" si="9"/>
        <v>2157686.75</v>
      </c>
      <c r="I22" s="23">
        <f t="shared" si="9"/>
        <v>2427772.17</v>
      </c>
      <c r="J22" s="23">
        <f t="shared" si="9"/>
        <v>2356579.54</v>
      </c>
      <c r="K22" s="23">
        <f t="shared" si="9"/>
        <v>2273234.7400000002</v>
      </c>
      <c r="L22" s="57">
        <f t="shared" si="9"/>
        <v>2433388.2816666667</v>
      </c>
      <c r="M22" s="57">
        <f t="shared" si="9"/>
        <v>2295942.64</v>
      </c>
      <c r="N22" s="57">
        <f>SUM(N23:N28)</f>
        <v>2295942.64</v>
      </c>
    </row>
    <row r="23" spans="1:14" hidden="1" outlineLevel="2">
      <c r="A23" s="24" t="s">
        <v>18</v>
      </c>
      <c r="B23" s="12">
        <f t="shared" si="3"/>
        <v>22200479.680000003</v>
      </c>
      <c r="C23" s="25">
        <v>1805592.6400000001</v>
      </c>
      <c r="D23" s="25">
        <v>1735460.6400000001</v>
      </c>
      <c r="E23" s="25">
        <v>1865942.6400000001</v>
      </c>
      <c r="F23" s="25">
        <v>1865942.6400000001</v>
      </c>
      <c r="G23" s="25">
        <v>1865942.6400000001</v>
      </c>
      <c r="H23" s="25">
        <v>1865942.6400000001</v>
      </c>
      <c r="I23" s="25">
        <v>1865942.6400000001</v>
      </c>
      <c r="J23" s="25">
        <v>1865942.6400000001</v>
      </c>
      <c r="K23" s="25">
        <v>1865942.6400000001</v>
      </c>
      <c r="L23" s="55">
        <v>1865942.6400000001</v>
      </c>
      <c r="M23" s="55">
        <v>1865942.6400000001</v>
      </c>
      <c r="N23" s="55">
        <v>1865942.6400000001</v>
      </c>
    </row>
    <row r="24" spans="1:14" hidden="1" outlineLevel="2">
      <c r="A24" s="24" t="s">
        <v>19</v>
      </c>
      <c r="B24" s="12">
        <f t="shared" si="3"/>
        <v>4991764.17</v>
      </c>
      <c r="C24" s="25">
        <v>320339.98999999993</v>
      </c>
      <c r="D24" s="25">
        <v>479074.70999999996</v>
      </c>
      <c r="E24" s="25">
        <v>537061.64999999991</v>
      </c>
      <c r="F24" s="25">
        <v>382606.79999999993</v>
      </c>
      <c r="G24" s="25">
        <v>455886.58999999997</v>
      </c>
      <c r="H24" s="25">
        <v>269613.12999999995</v>
      </c>
      <c r="I24" s="25">
        <v>523210.48</v>
      </c>
      <c r="J24" s="25">
        <v>444866.64</v>
      </c>
      <c r="K24" s="25">
        <v>379104.18</v>
      </c>
      <c r="L24" s="55">
        <v>400000</v>
      </c>
      <c r="M24" s="55">
        <v>400000</v>
      </c>
      <c r="N24" s="55">
        <v>400000</v>
      </c>
    </row>
    <row r="25" spans="1:14" hidden="1" outlineLevel="2">
      <c r="A25" s="24" t="s">
        <v>20</v>
      </c>
      <c r="B25" s="12">
        <f t="shared" si="3"/>
        <v>20400</v>
      </c>
      <c r="C25" s="25"/>
      <c r="D25" s="25">
        <v>6060</v>
      </c>
      <c r="E25" s="25">
        <v>0</v>
      </c>
      <c r="F25" s="25">
        <v>0</v>
      </c>
      <c r="G25" s="25">
        <v>14340</v>
      </c>
      <c r="H25" s="25">
        <v>0</v>
      </c>
      <c r="I25" s="25">
        <v>0</v>
      </c>
      <c r="J25" s="25">
        <v>0</v>
      </c>
      <c r="K25" s="25">
        <v>0</v>
      </c>
      <c r="L25" s="55"/>
      <c r="M25" s="55"/>
      <c r="N25" s="55"/>
    </row>
    <row r="26" spans="1:14" hidden="1" outlineLevel="2">
      <c r="A26" s="24" t="s">
        <v>21</v>
      </c>
      <c r="B26" s="12">
        <f t="shared" si="3"/>
        <v>379401.79000000004</v>
      </c>
      <c r="C26" s="25">
        <v>44418.61</v>
      </c>
      <c r="D26" s="25">
        <v>24863.200000000001</v>
      </c>
      <c r="E26" s="25">
        <v>42005.689999999995</v>
      </c>
      <c r="F26" s="25">
        <v>19774.63</v>
      </c>
      <c r="G26" s="25">
        <v>23631.45</v>
      </c>
      <c r="H26" s="25">
        <v>22130.98</v>
      </c>
      <c r="I26" s="25">
        <v>38619.050000000003</v>
      </c>
      <c r="J26" s="25">
        <v>45770.259999999995</v>
      </c>
      <c r="K26" s="25">
        <v>28187.919999999998</v>
      </c>
      <c r="L26" s="55">
        <v>30000</v>
      </c>
      <c r="M26" s="55">
        <v>30000</v>
      </c>
      <c r="N26" s="55">
        <v>30000</v>
      </c>
    </row>
    <row r="27" spans="1:14" hidden="1" outlineLevel="2">
      <c r="A27" s="24" t="s">
        <v>22</v>
      </c>
      <c r="B27" s="12">
        <f t="shared" si="3"/>
        <v>337433.62046666676</v>
      </c>
      <c r="C27" s="25"/>
      <c r="D27" s="25"/>
      <c r="E27" s="25"/>
      <c r="F27" s="25">
        <v>199987.97880000001</v>
      </c>
      <c r="G27" s="25"/>
      <c r="H27" s="25">
        <v>0</v>
      </c>
      <c r="I27" s="25">
        <v>0</v>
      </c>
      <c r="J27" s="25"/>
      <c r="K27" s="25">
        <v>0</v>
      </c>
      <c r="L27" s="55">
        <v>137445.64166666672</v>
      </c>
      <c r="M27" s="55"/>
      <c r="N27" s="55"/>
    </row>
    <row r="28" spans="1:14" hidden="1" outlineLevel="2">
      <c r="A28" s="24" t="s">
        <v>23</v>
      </c>
      <c r="B28" s="12">
        <f t="shared" si="3"/>
        <v>0</v>
      </c>
      <c r="C28" s="25"/>
      <c r="D28" s="25"/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55"/>
      <c r="M28" s="55"/>
      <c r="N28" s="55"/>
    </row>
    <row r="29" spans="1:14" outlineLevel="1" collapsed="1">
      <c r="A29" s="22" t="s">
        <v>24</v>
      </c>
      <c r="B29" s="12">
        <f t="shared" si="3"/>
        <v>651015</v>
      </c>
      <c r="C29" s="23">
        <f>SUM(C30:C34)</f>
        <v>21844</v>
      </c>
      <c r="D29" s="23">
        <f t="shared" ref="D29:M29" si="10">SUM(D30:D34)</f>
        <v>10104</v>
      </c>
      <c r="E29" s="23">
        <f t="shared" si="10"/>
        <v>8597</v>
      </c>
      <c r="F29" s="23">
        <f t="shared" si="10"/>
        <v>10008</v>
      </c>
      <c r="G29" s="23">
        <f t="shared" si="10"/>
        <v>7200</v>
      </c>
      <c r="H29" s="23">
        <f t="shared" si="10"/>
        <v>28402</v>
      </c>
      <c r="I29" s="23">
        <f t="shared" si="10"/>
        <v>4766</v>
      </c>
      <c r="J29" s="23">
        <f t="shared" si="10"/>
        <v>4600</v>
      </c>
      <c r="K29" s="23">
        <f t="shared" si="10"/>
        <v>5494</v>
      </c>
      <c r="L29" s="57">
        <f t="shared" si="10"/>
        <v>0</v>
      </c>
      <c r="M29" s="57">
        <f t="shared" si="10"/>
        <v>0</v>
      </c>
      <c r="N29" s="57">
        <f>SUM(N30:N34)</f>
        <v>550000</v>
      </c>
    </row>
    <row r="30" spans="1:14" hidden="1" outlineLevel="2">
      <c r="A30" s="24" t="s">
        <v>25</v>
      </c>
      <c r="B30" s="12">
        <f t="shared" si="3"/>
        <v>5200</v>
      </c>
      <c r="C30" s="25"/>
      <c r="D30" s="25">
        <v>5200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55"/>
      <c r="M30" s="55"/>
      <c r="N30" s="55"/>
    </row>
    <row r="31" spans="1:14" hidden="1" outlineLevel="2">
      <c r="A31" s="24" t="s">
        <v>26</v>
      </c>
      <c r="B31" s="12">
        <f t="shared" si="3"/>
        <v>32600</v>
      </c>
      <c r="C31" s="25">
        <v>15000</v>
      </c>
      <c r="D31" s="25">
        <v>2400</v>
      </c>
      <c r="E31" s="25">
        <v>2400</v>
      </c>
      <c r="F31" s="25">
        <v>2400</v>
      </c>
      <c r="G31" s="25">
        <v>7200</v>
      </c>
      <c r="H31" s="25">
        <v>1600</v>
      </c>
      <c r="I31" s="25">
        <v>1600</v>
      </c>
      <c r="J31" s="25">
        <v>0</v>
      </c>
      <c r="K31" s="25">
        <v>0</v>
      </c>
      <c r="L31" s="55"/>
      <c r="M31" s="55"/>
      <c r="N31" s="55"/>
    </row>
    <row r="32" spans="1:14" hidden="1" outlineLevel="2">
      <c r="A32" s="24" t="s">
        <v>27</v>
      </c>
      <c r="B32" s="12">
        <f t="shared" si="3"/>
        <v>42395</v>
      </c>
      <c r="C32" s="25">
        <v>6844</v>
      </c>
      <c r="D32" s="25">
        <v>2504</v>
      </c>
      <c r="E32" s="25">
        <v>6197</v>
      </c>
      <c r="F32" s="25">
        <v>7608</v>
      </c>
      <c r="G32" s="25">
        <v>0</v>
      </c>
      <c r="H32" s="25">
        <v>5982</v>
      </c>
      <c r="I32" s="25">
        <v>3166</v>
      </c>
      <c r="J32" s="25">
        <v>4600</v>
      </c>
      <c r="K32" s="25">
        <v>5494</v>
      </c>
      <c r="L32" s="55"/>
      <c r="M32" s="55"/>
      <c r="N32" s="55"/>
    </row>
    <row r="33" spans="1:14" hidden="1" outlineLevel="2">
      <c r="A33" s="24" t="s">
        <v>28</v>
      </c>
      <c r="B33" s="12">
        <f t="shared" si="3"/>
        <v>20820</v>
      </c>
      <c r="C33" s="25">
        <v>0</v>
      </c>
      <c r="D33" s="25"/>
      <c r="E33" s="25">
        <v>0</v>
      </c>
      <c r="F33" s="25">
        <v>0</v>
      </c>
      <c r="G33" s="25">
        <v>0</v>
      </c>
      <c r="H33" s="25">
        <v>20820</v>
      </c>
      <c r="I33" s="25">
        <v>0</v>
      </c>
      <c r="J33" s="25">
        <v>0</v>
      </c>
      <c r="K33" s="25">
        <v>0</v>
      </c>
      <c r="L33" s="55"/>
      <c r="M33" s="55"/>
      <c r="N33" s="55"/>
    </row>
    <row r="34" spans="1:14" hidden="1" outlineLevel="2">
      <c r="A34" s="24" t="s">
        <v>29</v>
      </c>
      <c r="B34" s="12">
        <f t="shared" si="3"/>
        <v>550000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55"/>
      <c r="M34" s="55"/>
      <c r="N34" s="55">
        <v>550000</v>
      </c>
    </row>
    <row r="35" spans="1:14" outlineLevel="1" collapsed="1">
      <c r="A35" s="22" t="s">
        <v>30</v>
      </c>
      <c r="B35" s="12">
        <f t="shared" si="3"/>
        <v>0</v>
      </c>
      <c r="C35" s="23">
        <f>SUM(C36:C40)</f>
        <v>0</v>
      </c>
      <c r="D35" s="23">
        <f t="shared" ref="D35:N35" si="11">SUM(D36:D40)</f>
        <v>0</v>
      </c>
      <c r="E35" s="23">
        <f t="shared" si="11"/>
        <v>0</v>
      </c>
      <c r="F35" s="23">
        <f t="shared" si="11"/>
        <v>0</v>
      </c>
      <c r="G35" s="23">
        <f t="shared" si="11"/>
        <v>0</v>
      </c>
      <c r="H35" s="23">
        <f t="shared" si="11"/>
        <v>0</v>
      </c>
      <c r="I35" s="23">
        <f t="shared" si="11"/>
        <v>0</v>
      </c>
      <c r="J35" s="23">
        <f t="shared" si="11"/>
        <v>0</v>
      </c>
      <c r="K35" s="23">
        <f t="shared" si="11"/>
        <v>0</v>
      </c>
      <c r="L35" s="57">
        <f t="shared" si="11"/>
        <v>0</v>
      </c>
      <c r="M35" s="57">
        <f t="shared" si="11"/>
        <v>0</v>
      </c>
      <c r="N35" s="57">
        <f t="shared" si="11"/>
        <v>0</v>
      </c>
    </row>
    <row r="36" spans="1:14" hidden="1" outlineLevel="2">
      <c r="A36" s="26" t="s">
        <v>31</v>
      </c>
      <c r="B36" s="12">
        <f t="shared" si="3"/>
        <v>0</v>
      </c>
      <c r="C36" s="25"/>
      <c r="D36" s="25"/>
      <c r="E36" s="25"/>
      <c r="F36" s="25"/>
      <c r="G36" s="25"/>
      <c r="H36" s="25"/>
      <c r="I36" s="25"/>
      <c r="J36" s="25"/>
      <c r="K36" s="25"/>
      <c r="L36" s="55"/>
      <c r="M36" s="55"/>
      <c r="N36" s="55"/>
    </row>
    <row r="37" spans="1:14" hidden="1" outlineLevel="2">
      <c r="A37" s="26" t="s">
        <v>32</v>
      </c>
      <c r="B37" s="12">
        <f t="shared" si="3"/>
        <v>0</v>
      </c>
      <c r="C37" s="25"/>
      <c r="D37" s="25"/>
      <c r="E37" s="25"/>
      <c r="F37" s="25"/>
      <c r="G37" s="25"/>
      <c r="H37" s="25"/>
      <c r="I37" s="25"/>
      <c r="J37" s="25"/>
      <c r="K37" s="25"/>
      <c r="L37" s="55"/>
      <c r="M37" s="55"/>
      <c r="N37" s="55"/>
    </row>
    <row r="38" spans="1:14" hidden="1" outlineLevel="2">
      <c r="A38" s="26" t="s">
        <v>33</v>
      </c>
      <c r="B38" s="12">
        <f t="shared" si="3"/>
        <v>0</v>
      </c>
      <c r="C38" s="25"/>
      <c r="D38" s="25"/>
      <c r="E38" s="25"/>
      <c r="F38" s="25"/>
      <c r="G38" s="25"/>
      <c r="H38" s="25"/>
      <c r="I38" s="25"/>
      <c r="J38" s="25"/>
      <c r="K38" s="25"/>
      <c r="L38" s="55"/>
      <c r="M38" s="55"/>
      <c r="N38" s="55"/>
    </row>
    <row r="39" spans="1:14" hidden="1" outlineLevel="2">
      <c r="A39" s="26" t="s">
        <v>34</v>
      </c>
      <c r="B39" s="12">
        <f t="shared" si="3"/>
        <v>0</v>
      </c>
      <c r="C39" s="25"/>
      <c r="D39" s="25"/>
      <c r="E39" s="25"/>
      <c r="F39" s="25"/>
      <c r="G39" s="25"/>
      <c r="H39" s="25"/>
      <c r="I39" s="25"/>
      <c r="J39" s="25"/>
      <c r="K39" s="25"/>
      <c r="L39" s="55"/>
      <c r="M39" s="55"/>
      <c r="N39" s="55"/>
    </row>
    <row r="40" spans="1:14" hidden="1" outlineLevel="2">
      <c r="A40" s="24" t="s">
        <v>35</v>
      </c>
      <c r="B40" s="12">
        <f t="shared" si="3"/>
        <v>0</v>
      </c>
      <c r="C40" s="25"/>
      <c r="D40" s="25"/>
      <c r="E40" s="25"/>
      <c r="F40" s="25"/>
      <c r="G40" s="25"/>
      <c r="H40" s="25"/>
      <c r="I40" s="25"/>
      <c r="J40" s="25"/>
      <c r="K40" s="25"/>
      <c r="L40" s="55"/>
      <c r="M40" s="55"/>
      <c r="N40" s="55"/>
    </row>
    <row r="41" spans="1:14" collapsed="1">
      <c r="A41" s="15" t="s">
        <v>36</v>
      </c>
      <c r="B41" s="16">
        <f t="shared" si="3"/>
        <v>224578441.78512993</v>
      </c>
      <c r="C41" s="28">
        <f>C6-C9</f>
        <v>15582981.022210114</v>
      </c>
      <c r="D41" s="28">
        <f t="shared" ref="D41:N41" si="12">D6-D9</f>
        <v>17463084.99899371</v>
      </c>
      <c r="E41" s="28">
        <f t="shared" si="12"/>
        <v>20128199.729231987</v>
      </c>
      <c r="F41" s="28">
        <f t="shared" si="12"/>
        <v>21331086.52242288</v>
      </c>
      <c r="G41" s="28">
        <f t="shared" si="12"/>
        <v>21458464.948112659</v>
      </c>
      <c r="H41" s="28">
        <f t="shared" si="12"/>
        <v>21337067.509238839</v>
      </c>
      <c r="I41" s="28">
        <f t="shared" si="12"/>
        <v>23208140.813233901</v>
      </c>
      <c r="J41" s="28">
        <f t="shared" si="12"/>
        <v>20401930.551894002</v>
      </c>
      <c r="K41" s="28">
        <f t="shared" si="12"/>
        <v>23521931.948348485</v>
      </c>
      <c r="L41" s="56">
        <f t="shared" si="12"/>
        <v>19862653.310153332</v>
      </c>
      <c r="M41" s="56">
        <f t="shared" si="12"/>
        <v>12527353.39799</v>
      </c>
      <c r="N41" s="56">
        <f t="shared" si="12"/>
        <v>7755547.0332999993</v>
      </c>
    </row>
    <row r="42" spans="1:14">
      <c r="A42" s="17" t="s">
        <v>37</v>
      </c>
      <c r="B42" s="18">
        <f t="shared" ref="B42" si="13">B41/B4</f>
        <v>0.1754685468375366</v>
      </c>
      <c r="C42" s="29">
        <f>C41/C4</f>
        <v>0.19854522572582686</v>
      </c>
      <c r="D42" s="29">
        <f t="shared" ref="D42:N42" si="14">D41/D4</f>
        <v>0.20254349246020642</v>
      </c>
      <c r="E42" s="29">
        <f t="shared" si="14"/>
        <v>0.20112587047937289</v>
      </c>
      <c r="F42" s="29">
        <f t="shared" si="14"/>
        <v>0.18274574105213531</v>
      </c>
      <c r="G42" s="29">
        <f t="shared" si="14"/>
        <v>0.18395159536620534</v>
      </c>
      <c r="H42" s="29">
        <f t="shared" si="14"/>
        <v>0.17972820982353291</v>
      </c>
      <c r="I42" s="29">
        <f t="shared" si="14"/>
        <v>0.17875797196772425</v>
      </c>
      <c r="J42" s="29">
        <f t="shared" si="14"/>
        <v>0.17392760390856948</v>
      </c>
      <c r="K42" s="29">
        <f t="shared" si="14"/>
        <v>0.18099370603984041</v>
      </c>
      <c r="L42" s="63">
        <f t="shared" si="14"/>
        <v>0.160233652908673</v>
      </c>
      <c r="M42" s="63">
        <f t="shared" si="14"/>
        <v>0.13887554898713717</v>
      </c>
      <c r="N42" s="63">
        <f t="shared" si="14"/>
        <v>0.10810314153176875</v>
      </c>
    </row>
    <row r="43" spans="1:14" ht="19">
      <c r="A43" s="11" t="s">
        <v>38</v>
      </c>
      <c r="B43" s="12">
        <f t="shared" ref="B43:B79" si="15">SUM(C43:N43)</f>
        <v>133499765.18343334</v>
      </c>
      <c r="C43" s="21">
        <f>C44+C47+C62+C73</f>
        <v>9618706.3100000005</v>
      </c>
      <c r="D43" s="21">
        <f t="shared" ref="D43:M43" si="16">D44+D47+D62+D73</f>
        <v>10048843.359999999</v>
      </c>
      <c r="E43" s="21">
        <f t="shared" si="16"/>
        <v>11178138.34</v>
      </c>
      <c r="F43" s="21">
        <f t="shared" si="16"/>
        <v>11809064.551599998</v>
      </c>
      <c r="G43" s="21">
        <f t="shared" si="16"/>
        <v>11126676.76</v>
      </c>
      <c r="H43" s="21">
        <f t="shared" si="16"/>
        <v>12232944.039999999</v>
      </c>
      <c r="I43" s="21">
        <f t="shared" si="16"/>
        <v>11203310.15</v>
      </c>
      <c r="J43" s="21">
        <f t="shared" si="16"/>
        <v>10888689.000000002</v>
      </c>
      <c r="K43" s="21">
        <f t="shared" si="16"/>
        <v>11923531.42</v>
      </c>
      <c r="L43" s="65">
        <f t="shared" si="16"/>
        <v>11856118.514333334</v>
      </c>
      <c r="M43" s="65">
        <f t="shared" si="16"/>
        <v>10561711.987500001</v>
      </c>
      <c r="N43" s="65">
        <f>N44+N47+N62+N73</f>
        <v>11052030.75</v>
      </c>
    </row>
    <row r="44" spans="1:14" outlineLevel="1" collapsed="1">
      <c r="A44" s="22" t="s">
        <v>39</v>
      </c>
      <c r="B44" s="12">
        <f t="shared" si="15"/>
        <v>7837887</v>
      </c>
      <c r="C44" s="23">
        <f>SUM(C45:C46)</f>
        <v>589199</v>
      </c>
      <c r="D44" s="23">
        <f t="shared" ref="D44:N44" si="17">SUM(D45:D46)</f>
        <v>575394</v>
      </c>
      <c r="E44" s="23">
        <f t="shared" si="17"/>
        <v>639978</v>
      </c>
      <c r="F44" s="23">
        <f t="shared" si="17"/>
        <v>591305</v>
      </c>
      <c r="G44" s="23">
        <f t="shared" si="17"/>
        <v>681822</v>
      </c>
      <c r="H44" s="23">
        <f t="shared" si="17"/>
        <v>658229</v>
      </c>
      <c r="I44" s="23">
        <f t="shared" si="17"/>
        <v>680084</v>
      </c>
      <c r="J44" s="23">
        <f t="shared" si="17"/>
        <v>715440</v>
      </c>
      <c r="K44" s="23">
        <f t="shared" si="17"/>
        <v>676609</v>
      </c>
      <c r="L44" s="57">
        <f t="shared" si="17"/>
        <v>676609</v>
      </c>
      <c r="M44" s="57">
        <f t="shared" si="17"/>
        <v>676609</v>
      </c>
      <c r="N44" s="57">
        <f t="shared" si="17"/>
        <v>676609</v>
      </c>
    </row>
    <row r="45" spans="1:14" hidden="1" outlineLevel="3">
      <c r="A45" s="24" t="s">
        <v>129</v>
      </c>
      <c r="B45" s="12">
        <f t="shared" si="15"/>
        <v>7837887</v>
      </c>
      <c r="C45" s="25">
        <v>589199</v>
      </c>
      <c r="D45" s="25">
        <v>575394</v>
      </c>
      <c r="E45" s="25">
        <v>639978</v>
      </c>
      <c r="F45" s="25">
        <v>591305</v>
      </c>
      <c r="G45" s="25">
        <v>681822</v>
      </c>
      <c r="H45" s="25">
        <v>658229</v>
      </c>
      <c r="I45" s="25">
        <v>680084</v>
      </c>
      <c r="J45" s="25">
        <v>715440</v>
      </c>
      <c r="K45" s="25">
        <v>676609</v>
      </c>
      <c r="L45" s="55">
        <v>676609</v>
      </c>
      <c r="M45" s="55">
        <v>676609</v>
      </c>
      <c r="N45" s="55">
        <v>676609</v>
      </c>
    </row>
    <row r="46" spans="1:14" hidden="1" outlineLevel="3">
      <c r="A46" s="24" t="s">
        <v>10</v>
      </c>
      <c r="B46" s="12">
        <f t="shared" si="15"/>
        <v>0</v>
      </c>
      <c r="C46" s="25"/>
      <c r="D46" s="25"/>
      <c r="E46" s="25"/>
      <c r="F46" s="25"/>
      <c r="G46" s="25"/>
      <c r="H46" s="25"/>
      <c r="I46" s="25"/>
      <c r="J46" s="25"/>
      <c r="K46" s="25"/>
      <c r="L46" s="55"/>
      <c r="M46" s="55"/>
      <c r="N46" s="55"/>
    </row>
    <row r="47" spans="1:14" outlineLevel="1">
      <c r="A47" s="30" t="s">
        <v>40</v>
      </c>
      <c r="B47" s="12">
        <f t="shared" si="15"/>
        <v>50708550.467099994</v>
      </c>
      <c r="C47" s="23">
        <f>C48+C50</f>
        <v>2801695.0100000002</v>
      </c>
      <c r="D47" s="23">
        <f t="shared" ref="D47:N47" si="18">D48+D50</f>
        <v>3649417.02</v>
      </c>
      <c r="E47" s="23">
        <f t="shared" si="18"/>
        <v>3997126.7499999995</v>
      </c>
      <c r="F47" s="23">
        <f t="shared" si="18"/>
        <v>4740759.6736000003</v>
      </c>
      <c r="G47" s="23">
        <f t="shared" si="18"/>
        <v>4533841.18</v>
      </c>
      <c r="H47" s="23">
        <f t="shared" si="18"/>
        <v>4967901.43</v>
      </c>
      <c r="I47" s="23">
        <f t="shared" si="18"/>
        <v>4114534.02</v>
      </c>
      <c r="J47" s="23">
        <f t="shared" si="18"/>
        <v>4026691.85</v>
      </c>
      <c r="K47" s="23">
        <f t="shared" si="18"/>
        <v>4995286.84</v>
      </c>
      <c r="L47" s="57">
        <f t="shared" si="18"/>
        <v>4837439.2560000001</v>
      </c>
      <c r="M47" s="57">
        <f t="shared" si="18"/>
        <v>3830769.3374999999</v>
      </c>
      <c r="N47" s="57">
        <f t="shared" si="18"/>
        <v>4213088.0999999996</v>
      </c>
    </row>
    <row r="48" spans="1:14" outlineLevel="2" collapsed="1">
      <c r="A48" s="31" t="s">
        <v>41</v>
      </c>
      <c r="B48" s="12">
        <f t="shared" si="15"/>
        <v>2840372.1999999997</v>
      </c>
      <c r="C48" s="23">
        <f>SUM(C49)</f>
        <v>50000</v>
      </c>
      <c r="D48" s="23">
        <f t="shared" ref="D48:N48" si="19">SUM(D49)</f>
        <v>163000</v>
      </c>
      <c r="E48" s="23">
        <f t="shared" si="19"/>
        <v>346540</v>
      </c>
      <c r="F48" s="23">
        <f t="shared" si="19"/>
        <v>302380</v>
      </c>
      <c r="G48" s="23">
        <f t="shared" si="19"/>
        <v>174000</v>
      </c>
      <c r="H48" s="23">
        <f t="shared" si="19"/>
        <v>452400</v>
      </c>
      <c r="I48" s="23">
        <f t="shared" si="19"/>
        <v>312651</v>
      </c>
      <c r="J48" s="23">
        <f t="shared" si="19"/>
        <v>307226.40000000002</v>
      </c>
      <c r="K48" s="23">
        <f t="shared" si="19"/>
        <v>282174.8</v>
      </c>
      <c r="L48" s="57">
        <f t="shared" si="19"/>
        <v>200000</v>
      </c>
      <c r="M48" s="57">
        <f t="shared" si="19"/>
        <v>150000</v>
      </c>
      <c r="N48" s="57">
        <f t="shared" si="19"/>
        <v>100000</v>
      </c>
    </row>
    <row r="49" spans="1:14" hidden="1" outlineLevel="3">
      <c r="A49" s="32" t="s">
        <v>42</v>
      </c>
      <c r="B49" s="12">
        <f t="shared" si="15"/>
        <v>2840372.1999999997</v>
      </c>
      <c r="C49" s="25">
        <v>50000</v>
      </c>
      <c r="D49" s="25">
        <v>163000</v>
      </c>
      <c r="E49" s="25">
        <v>346540</v>
      </c>
      <c r="F49" s="25">
        <v>302380</v>
      </c>
      <c r="G49" s="25">
        <v>174000</v>
      </c>
      <c r="H49" s="25">
        <v>452400</v>
      </c>
      <c r="I49" s="25">
        <v>312651</v>
      </c>
      <c r="J49" s="25">
        <v>307226.40000000002</v>
      </c>
      <c r="K49" s="25">
        <v>282174.8</v>
      </c>
      <c r="L49" s="55">
        <v>200000</v>
      </c>
      <c r="M49" s="55">
        <v>150000</v>
      </c>
      <c r="N49" s="55">
        <v>100000</v>
      </c>
    </row>
    <row r="50" spans="1:14" outlineLevel="2" collapsed="1">
      <c r="A50" s="31" t="s">
        <v>43</v>
      </c>
      <c r="B50" s="12">
        <f t="shared" si="15"/>
        <v>47868178.267099999</v>
      </c>
      <c r="C50" s="23">
        <f>C51+C55+C54+C56+C57+C58+C59+C60+C61</f>
        <v>2751695.0100000002</v>
      </c>
      <c r="D50" s="23">
        <f t="shared" ref="D50:N50" si="20">D51+D55+D54+D56+D57+D58+D59+D60+D61</f>
        <v>3486417.02</v>
      </c>
      <c r="E50" s="23">
        <f t="shared" si="20"/>
        <v>3650586.7499999995</v>
      </c>
      <c r="F50" s="23">
        <f t="shared" si="20"/>
        <v>4438379.6736000003</v>
      </c>
      <c r="G50" s="23">
        <f t="shared" si="20"/>
        <v>4359841.18</v>
      </c>
      <c r="H50" s="23">
        <f t="shared" si="20"/>
        <v>4515501.43</v>
      </c>
      <c r="I50" s="23">
        <f t="shared" si="20"/>
        <v>3801883.02</v>
      </c>
      <c r="J50" s="23">
        <f t="shared" si="20"/>
        <v>3719465.45</v>
      </c>
      <c r="K50" s="23">
        <f t="shared" si="20"/>
        <v>4713112.04</v>
      </c>
      <c r="L50" s="57">
        <f t="shared" si="20"/>
        <v>4637439.2560000001</v>
      </c>
      <c r="M50" s="57">
        <f t="shared" si="20"/>
        <v>3680769.3374999999</v>
      </c>
      <c r="N50" s="57">
        <f t="shared" si="20"/>
        <v>4113088.0999999996</v>
      </c>
    </row>
    <row r="51" spans="1:14" hidden="1" outlineLevel="4">
      <c r="A51" s="32" t="s">
        <v>44</v>
      </c>
      <c r="B51" s="12">
        <f t="shared" si="15"/>
        <v>16784952</v>
      </c>
      <c r="C51" s="25">
        <f>SUM(C52:C53)</f>
        <v>1103622</v>
      </c>
      <c r="D51" s="25">
        <f t="shared" ref="D51:N51" si="21">SUM(D52:D53)</f>
        <v>1251164</v>
      </c>
      <c r="E51" s="25">
        <f t="shared" si="21"/>
        <v>1392937</v>
      </c>
      <c r="F51" s="25">
        <f t="shared" si="21"/>
        <v>1524723</v>
      </c>
      <c r="G51" s="25">
        <f t="shared" si="21"/>
        <v>1430644</v>
      </c>
      <c r="H51" s="25">
        <f t="shared" si="21"/>
        <v>1475976</v>
      </c>
      <c r="I51" s="25">
        <f t="shared" si="21"/>
        <v>1664185</v>
      </c>
      <c r="J51" s="25">
        <f t="shared" si="21"/>
        <v>1539649</v>
      </c>
      <c r="K51" s="25">
        <f t="shared" si="21"/>
        <v>1547829</v>
      </c>
      <c r="L51" s="55">
        <f t="shared" si="21"/>
        <v>1284741</v>
      </c>
      <c r="M51" s="55">
        <f t="shared" si="21"/>
        <v>1284741</v>
      </c>
      <c r="N51" s="55">
        <f t="shared" si="21"/>
        <v>1284741</v>
      </c>
    </row>
    <row r="52" spans="1:14" hidden="1" outlineLevel="5">
      <c r="A52" s="33" t="s">
        <v>129</v>
      </c>
      <c r="B52" s="12">
        <f t="shared" si="15"/>
        <v>7244040</v>
      </c>
      <c r="C52" s="25">
        <v>420969</v>
      </c>
      <c r="D52" s="25">
        <v>464360</v>
      </c>
      <c r="E52" s="25">
        <v>506424</v>
      </c>
      <c r="F52" s="25">
        <v>655426</v>
      </c>
      <c r="G52" s="25">
        <v>602325</v>
      </c>
      <c r="H52" s="25">
        <v>623759</v>
      </c>
      <c r="I52" s="25">
        <v>616913</v>
      </c>
      <c r="J52" s="25">
        <v>614900</v>
      </c>
      <c r="K52" s="25">
        <v>684741</v>
      </c>
      <c r="L52" s="55">
        <v>684741</v>
      </c>
      <c r="M52" s="55">
        <v>684741</v>
      </c>
      <c r="N52" s="55">
        <v>684741</v>
      </c>
    </row>
    <row r="53" spans="1:14" hidden="1" outlineLevel="5">
      <c r="A53" s="33" t="s">
        <v>10</v>
      </c>
      <c r="B53" s="12">
        <f t="shared" si="15"/>
        <v>9540912</v>
      </c>
      <c r="C53" s="25">
        <v>682653</v>
      </c>
      <c r="D53" s="25">
        <v>786804</v>
      </c>
      <c r="E53" s="25">
        <v>886513</v>
      </c>
      <c r="F53" s="25">
        <v>869297</v>
      </c>
      <c r="G53" s="25">
        <v>828319</v>
      </c>
      <c r="H53" s="25">
        <v>852217</v>
      </c>
      <c r="I53" s="25">
        <v>1047272</v>
      </c>
      <c r="J53" s="25">
        <v>924749</v>
      </c>
      <c r="K53" s="25">
        <v>863088</v>
      </c>
      <c r="L53" s="55">
        <v>600000</v>
      </c>
      <c r="M53" s="55">
        <v>600000</v>
      </c>
      <c r="N53" s="55">
        <v>600000</v>
      </c>
    </row>
    <row r="54" spans="1:14" hidden="1" outlineLevel="5">
      <c r="A54" s="32" t="s">
        <v>45</v>
      </c>
      <c r="B54" s="12">
        <f t="shared" si="15"/>
        <v>1842757.02</v>
      </c>
      <c r="C54" s="25">
        <v>140667.52000000002</v>
      </c>
      <c r="D54" s="25">
        <v>142667</v>
      </c>
      <c r="E54" s="25">
        <v>162513.21</v>
      </c>
      <c r="F54" s="25">
        <v>169413</v>
      </c>
      <c r="G54" s="25">
        <v>138629.79999999999</v>
      </c>
      <c r="H54" s="25">
        <v>141056.49</v>
      </c>
      <c r="I54" s="25">
        <v>142810</v>
      </c>
      <c r="J54" s="25">
        <v>247400</v>
      </c>
      <c r="K54" s="25">
        <v>147600</v>
      </c>
      <c r="L54" s="55">
        <v>150000</v>
      </c>
      <c r="M54" s="55">
        <v>130000</v>
      </c>
      <c r="N54" s="55">
        <v>130000</v>
      </c>
    </row>
    <row r="55" spans="1:14" hidden="1" outlineLevel="5">
      <c r="A55" s="32" t="s">
        <v>46</v>
      </c>
      <c r="B55" s="12">
        <f t="shared" si="15"/>
        <v>450450</v>
      </c>
      <c r="C55" s="25">
        <v>33000</v>
      </c>
      <c r="D55" s="25">
        <v>37950</v>
      </c>
      <c r="E55" s="25">
        <v>37950</v>
      </c>
      <c r="F55" s="25">
        <v>37950</v>
      </c>
      <c r="G55" s="25">
        <v>37950</v>
      </c>
      <c r="H55" s="25">
        <v>37950</v>
      </c>
      <c r="I55" s="25">
        <v>37950</v>
      </c>
      <c r="J55" s="25">
        <v>37950</v>
      </c>
      <c r="K55" s="25">
        <v>37950</v>
      </c>
      <c r="L55" s="55">
        <v>37950</v>
      </c>
      <c r="M55" s="55">
        <v>37950</v>
      </c>
      <c r="N55" s="55">
        <v>37950</v>
      </c>
    </row>
    <row r="56" spans="1:14" hidden="1" outlineLevel="5">
      <c r="A56" s="32" t="s">
        <v>47</v>
      </c>
      <c r="B56" s="12">
        <f t="shared" si="15"/>
        <v>2172818</v>
      </c>
      <c r="C56" s="25">
        <v>102650</v>
      </c>
      <c r="D56" s="25">
        <v>177650</v>
      </c>
      <c r="E56" s="25">
        <v>167218</v>
      </c>
      <c r="F56" s="25">
        <v>210000</v>
      </c>
      <c r="G56" s="25">
        <v>183500</v>
      </c>
      <c r="H56" s="25">
        <v>171500</v>
      </c>
      <c r="I56" s="25">
        <v>133300</v>
      </c>
      <c r="J56" s="25">
        <v>128500</v>
      </c>
      <c r="K56" s="25">
        <v>268500</v>
      </c>
      <c r="L56" s="55">
        <v>250000</v>
      </c>
      <c r="M56" s="55">
        <v>200000</v>
      </c>
      <c r="N56" s="55">
        <v>180000</v>
      </c>
    </row>
    <row r="57" spans="1:14" hidden="1" outlineLevel="5">
      <c r="A57" s="32" t="s">
        <v>48</v>
      </c>
      <c r="B57" s="12">
        <f t="shared" si="15"/>
        <v>14752699</v>
      </c>
      <c r="C57" s="25">
        <v>805000</v>
      </c>
      <c r="D57" s="25">
        <v>1150000</v>
      </c>
      <c r="E57" s="25">
        <v>1175890</v>
      </c>
      <c r="F57" s="25">
        <v>1324965</v>
      </c>
      <c r="G57" s="25">
        <v>1254300</v>
      </c>
      <c r="H57" s="25">
        <v>1390000</v>
      </c>
      <c r="I57" s="25">
        <v>1280000</v>
      </c>
      <c r="J57" s="25">
        <v>1247694</v>
      </c>
      <c r="K57" s="25">
        <v>1574850</v>
      </c>
      <c r="L57" s="55">
        <v>1200000</v>
      </c>
      <c r="M57" s="55">
        <v>1200000</v>
      </c>
      <c r="N57" s="55">
        <v>1150000</v>
      </c>
    </row>
    <row r="58" spans="1:14" hidden="1" outlineLevel="5">
      <c r="A58" s="32" t="s">
        <v>49</v>
      </c>
      <c r="B58" s="12">
        <f t="shared" si="15"/>
        <v>10938154.6875</v>
      </c>
      <c r="C58" s="25">
        <v>554994.18000000005</v>
      </c>
      <c r="D58" s="25">
        <v>667675.10999999987</v>
      </c>
      <c r="E58" s="25">
        <v>666821.72</v>
      </c>
      <c r="F58" s="25">
        <v>1007881.6899999998</v>
      </c>
      <c r="G58" s="25">
        <v>1262628.42</v>
      </c>
      <c r="H58" s="25">
        <v>1025847.0199999998</v>
      </c>
      <c r="I58" s="25">
        <v>471804.9</v>
      </c>
      <c r="J58" s="25">
        <v>457767.77</v>
      </c>
      <c r="K58" s="25">
        <v>1121383.04</v>
      </c>
      <c r="L58" s="55">
        <v>1572875.4</v>
      </c>
      <c r="M58" s="55">
        <v>813078.33749999991</v>
      </c>
      <c r="N58" s="55">
        <v>1315397.0999999999</v>
      </c>
    </row>
    <row r="59" spans="1:14" hidden="1" outlineLevel="5">
      <c r="A59" s="32" t="s">
        <v>50</v>
      </c>
      <c r="B59" s="12">
        <f t="shared" si="15"/>
        <v>235065</v>
      </c>
      <c r="C59" s="25">
        <v>0</v>
      </c>
      <c r="D59" s="25">
        <v>47900</v>
      </c>
      <c r="E59" s="25">
        <v>0</v>
      </c>
      <c r="F59" s="25">
        <v>23950</v>
      </c>
      <c r="G59" s="25">
        <v>26230</v>
      </c>
      <c r="H59" s="25">
        <v>26230</v>
      </c>
      <c r="I59" s="25">
        <v>22640</v>
      </c>
      <c r="J59" s="25">
        <v>28115</v>
      </c>
      <c r="K59" s="25">
        <v>15000</v>
      </c>
      <c r="L59" s="55">
        <v>15000</v>
      </c>
      <c r="M59" s="55">
        <v>15000</v>
      </c>
      <c r="N59" s="55">
        <v>15000</v>
      </c>
    </row>
    <row r="60" spans="1:14" hidden="1" outlineLevel="5">
      <c r="A60" s="32" t="s">
        <v>22</v>
      </c>
      <c r="B60" s="12">
        <f t="shared" si="15"/>
        <v>254744.85960000003</v>
      </c>
      <c r="C60" s="25">
        <v>0</v>
      </c>
      <c r="D60" s="25">
        <v>0</v>
      </c>
      <c r="E60" s="25">
        <v>0</v>
      </c>
      <c r="F60" s="25">
        <v>127872.0036</v>
      </c>
      <c r="G60" s="25"/>
      <c r="H60" s="25">
        <v>0</v>
      </c>
      <c r="I60" s="25">
        <v>0</v>
      </c>
      <c r="J60" s="25"/>
      <c r="K60" s="25">
        <v>0</v>
      </c>
      <c r="L60" s="55">
        <v>126872.85600000001</v>
      </c>
      <c r="M60" s="55"/>
      <c r="N60" s="55"/>
    </row>
    <row r="61" spans="1:14" hidden="1" outlineLevel="5">
      <c r="A61" s="32" t="s">
        <v>51</v>
      </c>
      <c r="B61" s="12">
        <f t="shared" si="15"/>
        <v>436537.7</v>
      </c>
      <c r="C61" s="25">
        <v>11761.31</v>
      </c>
      <c r="D61" s="25">
        <v>11410.91</v>
      </c>
      <c r="E61" s="25">
        <v>47256.82</v>
      </c>
      <c r="F61" s="25">
        <v>11624.98</v>
      </c>
      <c r="G61" s="25">
        <v>25958.959999999999</v>
      </c>
      <c r="H61" s="25">
        <v>246941.91999999998</v>
      </c>
      <c r="I61" s="25">
        <v>49193.119999999995</v>
      </c>
      <c r="J61" s="25">
        <v>32389.68</v>
      </c>
      <c r="K61" s="25">
        <v>0</v>
      </c>
      <c r="L61" s="55"/>
      <c r="M61" s="55"/>
      <c r="N61" s="55"/>
    </row>
    <row r="62" spans="1:14" outlineLevel="1" collapsed="1">
      <c r="A62" s="30" t="s">
        <v>52</v>
      </c>
      <c r="B62" s="12">
        <f t="shared" si="15"/>
        <v>69038567.426333338</v>
      </c>
      <c r="C62" s="23">
        <f>C63+C66+C67+C68+C69+C70+C71+C72</f>
        <v>5757449.5</v>
      </c>
      <c r="D62" s="23">
        <f t="shared" ref="D62:N62" si="22">D63+D66+D67+D68+D69+D70+D71+D72</f>
        <v>5239432.34</v>
      </c>
      <c r="E62" s="23">
        <f t="shared" si="22"/>
        <v>6111650.5899999999</v>
      </c>
      <c r="F62" s="23">
        <f t="shared" si="22"/>
        <v>5838460.6779999994</v>
      </c>
      <c r="G62" s="23">
        <f t="shared" si="22"/>
        <v>5291358.58</v>
      </c>
      <c r="H62" s="23">
        <f t="shared" si="22"/>
        <v>6022800.6099999994</v>
      </c>
      <c r="I62" s="23">
        <f t="shared" si="22"/>
        <v>6025548.6500000004</v>
      </c>
      <c r="J62" s="23">
        <f t="shared" si="22"/>
        <v>5760829.3400000008</v>
      </c>
      <c r="K62" s="23">
        <f t="shared" si="22"/>
        <v>5754609.5800000001</v>
      </c>
      <c r="L62" s="57">
        <f t="shared" si="22"/>
        <v>5901300.2583333338</v>
      </c>
      <c r="M62" s="57">
        <f t="shared" si="22"/>
        <v>5613563.6500000004</v>
      </c>
      <c r="N62" s="57">
        <f t="shared" si="22"/>
        <v>5721563.6500000004</v>
      </c>
    </row>
    <row r="63" spans="1:14" hidden="1" outlineLevel="3">
      <c r="A63" s="34" t="s">
        <v>53</v>
      </c>
      <c r="B63" s="12">
        <f t="shared" si="15"/>
        <v>30915520</v>
      </c>
      <c r="C63" s="25">
        <f>SUM(C64:C65)</f>
        <v>2026212</v>
      </c>
      <c r="D63" s="25">
        <f t="shared" ref="D63:N63" si="23">SUM(D64:D65)</f>
        <v>2259854</v>
      </c>
      <c r="E63" s="25">
        <f t="shared" si="23"/>
        <v>2363155</v>
      </c>
      <c r="F63" s="25">
        <f t="shared" si="23"/>
        <v>2680571</v>
      </c>
      <c r="G63" s="25">
        <f t="shared" si="23"/>
        <v>2561044</v>
      </c>
      <c r="H63" s="25">
        <f t="shared" si="23"/>
        <v>2755251</v>
      </c>
      <c r="I63" s="25">
        <f t="shared" si="23"/>
        <v>2953885</v>
      </c>
      <c r="J63" s="25">
        <f t="shared" si="23"/>
        <v>2759985</v>
      </c>
      <c r="K63" s="25">
        <f t="shared" si="23"/>
        <v>2772783</v>
      </c>
      <c r="L63" s="55">
        <f t="shared" si="23"/>
        <v>2594260</v>
      </c>
      <c r="M63" s="55">
        <f t="shared" si="23"/>
        <v>2594260</v>
      </c>
      <c r="N63" s="55">
        <f t="shared" si="23"/>
        <v>2594260</v>
      </c>
    </row>
    <row r="64" spans="1:14" hidden="1" outlineLevel="4">
      <c r="A64" s="24" t="s">
        <v>129</v>
      </c>
      <c r="B64" s="12">
        <f t="shared" si="15"/>
        <v>22019199</v>
      </c>
      <c r="C64" s="25">
        <v>1448640</v>
      </c>
      <c r="D64" s="25">
        <v>1568679</v>
      </c>
      <c r="E64" s="25">
        <v>1533477</v>
      </c>
      <c r="F64" s="25">
        <v>1906520</v>
      </c>
      <c r="G64" s="25">
        <v>1752315</v>
      </c>
      <c r="H64" s="25">
        <v>1904176</v>
      </c>
      <c r="I64" s="25">
        <v>2091793</v>
      </c>
      <c r="J64" s="25">
        <v>1836559</v>
      </c>
      <c r="K64" s="25">
        <v>1994260</v>
      </c>
      <c r="L64" s="55">
        <v>1994260</v>
      </c>
      <c r="M64" s="55">
        <v>1994260</v>
      </c>
      <c r="N64" s="55">
        <v>1994260</v>
      </c>
    </row>
    <row r="65" spans="1:14" hidden="1" outlineLevel="4">
      <c r="A65" s="24" t="s">
        <v>10</v>
      </c>
      <c r="B65" s="12">
        <f t="shared" si="15"/>
        <v>8896321</v>
      </c>
      <c r="C65" s="25">
        <v>577572</v>
      </c>
      <c r="D65" s="25">
        <v>691175</v>
      </c>
      <c r="E65" s="25">
        <v>829678</v>
      </c>
      <c r="F65" s="25">
        <v>774051</v>
      </c>
      <c r="G65" s="25">
        <v>808729</v>
      </c>
      <c r="H65" s="25">
        <v>851075</v>
      </c>
      <c r="I65" s="25">
        <v>862092</v>
      </c>
      <c r="J65" s="25">
        <v>923426</v>
      </c>
      <c r="K65" s="25">
        <v>778523</v>
      </c>
      <c r="L65" s="55">
        <v>600000</v>
      </c>
      <c r="M65" s="55">
        <v>600000</v>
      </c>
      <c r="N65" s="55">
        <v>600000</v>
      </c>
    </row>
    <row r="66" spans="1:14" hidden="1" outlineLevel="4">
      <c r="A66" s="34" t="s">
        <v>54</v>
      </c>
      <c r="B66" s="12">
        <f t="shared" si="15"/>
        <v>32608926.479999993</v>
      </c>
      <c r="C66" s="25">
        <v>2625517.4300000002</v>
      </c>
      <c r="D66" s="25">
        <v>2625517.4300000002</v>
      </c>
      <c r="E66" s="25">
        <v>2625517.4300000002</v>
      </c>
      <c r="F66" s="25">
        <v>2625517.4300000002</v>
      </c>
      <c r="G66" s="25">
        <v>2625517.4300000002</v>
      </c>
      <c r="H66" s="25">
        <v>2625517.4300000002</v>
      </c>
      <c r="I66" s="25">
        <v>2809303.65</v>
      </c>
      <c r="J66" s="25">
        <v>2809303.65</v>
      </c>
      <c r="K66" s="25">
        <v>2809303.65</v>
      </c>
      <c r="L66" s="55">
        <v>2809303.65</v>
      </c>
      <c r="M66" s="55">
        <v>2809303.65</v>
      </c>
      <c r="N66" s="55">
        <v>2809303.65</v>
      </c>
    </row>
    <row r="67" spans="1:14" hidden="1" outlineLevel="4">
      <c r="A67" s="34" t="s">
        <v>55</v>
      </c>
      <c r="B67" s="12">
        <f t="shared" si="15"/>
        <v>2563610.54</v>
      </c>
      <c r="C67" s="25">
        <v>239102.07</v>
      </c>
      <c r="D67" s="25">
        <v>212847.11</v>
      </c>
      <c r="E67" s="25">
        <v>671831.16</v>
      </c>
      <c r="F67" s="25">
        <v>189427.26</v>
      </c>
      <c r="G67" s="25">
        <v>82323.149999999994</v>
      </c>
      <c r="H67" s="25">
        <v>306121.71000000002</v>
      </c>
      <c r="I67" s="25">
        <v>78435.5</v>
      </c>
      <c r="J67" s="25">
        <v>104966.65</v>
      </c>
      <c r="K67" s="25">
        <v>78555.929999999993</v>
      </c>
      <c r="L67" s="55">
        <v>200000</v>
      </c>
      <c r="M67" s="55">
        <v>200000</v>
      </c>
      <c r="N67" s="55">
        <v>200000</v>
      </c>
    </row>
    <row r="68" spans="1:14" hidden="1" outlineLevel="4">
      <c r="A68" s="34" t="s">
        <v>56</v>
      </c>
      <c r="B68" s="12">
        <f t="shared" si="15"/>
        <v>439215.75</v>
      </c>
      <c r="C68" s="25">
        <v>41390</v>
      </c>
      <c r="D68" s="25">
        <v>56541.8</v>
      </c>
      <c r="E68" s="25">
        <v>66307</v>
      </c>
      <c r="F68" s="25">
        <v>18975</v>
      </c>
      <c r="G68" s="25">
        <v>22474</v>
      </c>
      <c r="H68" s="25">
        <v>57870.95</v>
      </c>
      <c r="I68" s="25">
        <v>75924.5</v>
      </c>
      <c r="J68" s="25">
        <v>60437.5</v>
      </c>
      <c r="K68" s="25">
        <v>9295</v>
      </c>
      <c r="L68" s="55">
        <v>10000</v>
      </c>
      <c r="M68" s="55">
        <v>10000</v>
      </c>
      <c r="N68" s="55">
        <v>10000</v>
      </c>
    </row>
    <row r="69" spans="1:14" hidden="1" outlineLevel="4">
      <c r="A69" s="34" t="s">
        <v>22</v>
      </c>
      <c r="B69" s="12">
        <f t="shared" si="15"/>
        <v>445171.13633333339</v>
      </c>
      <c r="C69" s="25">
        <v>0</v>
      </c>
      <c r="D69" s="25">
        <v>0</v>
      </c>
      <c r="E69" s="25"/>
      <c r="F69" s="25">
        <v>239297.98799999998</v>
      </c>
      <c r="G69" s="25"/>
      <c r="H69" s="25"/>
      <c r="I69" s="25"/>
      <c r="J69" s="25">
        <v>26136.54</v>
      </c>
      <c r="K69" s="25"/>
      <c r="L69" s="55">
        <v>179736.6083333334</v>
      </c>
      <c r="M69" s="55"/>
      <c r="N69" s="55"/>
    </row>
    <row r="70" spans="1:14" hidden="1" outlineLevel="4">
      <c r="A70" s="34" t="s">
        <v>57</v>
      </c>
      <c r="B70" s="12">
        <f t="shared" si="15"/>
        <v>1625735.52</v>
      </c>
      <c r="C70" s="25">
        <v>384840</v>
      </c>
      <c r="D70" s="25">
        <v>84672</v>
      </c>
      <c r="E70" s="25">
        <v>384840</v>
      </c>
      <c r="F70" s="25">
        <v>84672</v>
      </c>
      <c r="G70" s="25">
        <v>0</v>
      </c>
      <c r="H70" s="25">
        <v>278039.52</v>
      </c>
      <c r="I70" s="25">
        <v>108000</v>
      </c>
      <c r="J70" s="25">
        <v>0</v>
      </c>
      <c r="K70" s="25">
        <v>84672</v>
      </c>
      <c r="L70" s="55">
        <v>108000</v>
      </c>
      <c r="M70" s="55"/>
      <c r="N70" s="55">
        <v>108000</v>
      </c>
    </row>
    <row r="71" spans="1:14" hidden="1" outlineLevel="4">
      <c r="A71" s="34" t="s">
        <v>58</v>
      </c>
      <c r="B71" s="12">
        <f t="shared" si="15"/>
        <v>0</v>
      </c>
      <c r="C71" s="25">
        <v>0</v>
      </c>
      <c r="D71" s="25">
        <v>0</v>
      </c>
      <c r="E71" s="25"/>
      <c r="F71" s="25"/>
      <c r="G71" s="25"/>
      <c r="H71" s="25"/>
      <c r="I71" s="25"/>
      <c r="J71" s="25"/>
      <c r="K71" s="25"/>
      <c r="L71" s="55"/>
      <c r="M71" s="55"/>
      <c r="N71" s="55"/>
    </row>
    <row r="72" spans="1:14" hidden="1" outlineLevel="4">
      <c r="A72" s="34" t="s">
        <v>59</v>
      </c>
      <c r="B72" s="12">
        <f t="shared" si="15"/>
        <v>440388</v>
      </c>
      <c r="C72" s="25">
        <v>440388</v>
      </c>
      <c r="D72" s="25"/>
      <c r="E72" s="25"/>
      <c r="F72" s="25"/>
      <c r="G72" s="25"/>
      <c r="H72" s="25"/>
      <c r="I72" s="25"/>
      <c r="J72" s="25"/>
      <c r="K72" s="25"/>
      <c r="L72" s="55"/>
      <c r="M72" s="55"/>
      <c r="N72" s="55"/>
    </row>
    <row r="73" spans="1:14" outlineLevel="1" collapsed="1">
      <c r="A73" s="30" t="s">
        <v>60</v>
      </c>
      <c r="B73" s="12">
        <f t="shared" si="15"/>
        <v>5914760.29</v>
      </c>
      <c r="C73" s="23">
        <f>C74+C77+C78</f>
        <v>470362.8</v>
      </c>
      <c r="D73" s="23">
        <f t="shared" ref="D73:N73" si="24">D74+D77+D78</f>
        <v>584600</v>
      </c>
      <c r="E73" s="23">
        <f t="shared" si="24"/>
        <v>429383</v>
      </c>
      <c r="F73" s="23">
        <f t="shared" si="24"/>
        <v>638539.19999999995</v>
      </c>
      <c r="G73" s="23">
        <f t="shared" si="24"/>
        <v>619655</v>
      </c>
      <c r="H73" s="23">
        <f t="shared" si="24"/>
        <v>584013</v>
      </c>
      <c r="I73" s="23">
        <f t="shared" si="24"/>
        <v>383143.48</v>
      </c>
      <c r="J73" s="23">
        <f t="shared" si="24"/>
        <v>385727.81</v>
      </c>
      <c r="K73" s="23">
        <f t="shared" si="24"/>
        <v>497026</v>
      </c>
      <c r="L73" s="57">
        <f t="shared" si="24"/>
        <v>440770</v>
      </c>
      <c r="M73" s="57">
        <f t="shared" si="24"/>
        <v>440770</v>
      </c>
      <c r="N73" s="57">
        <f t="shared" si="24"/>
        <v>440770</v>
      </c>
    </row>
    <row r="74" spans="1:14" hidden="1" outlineLevel="3">
      <c r="A74" s="34" t="s">
        <v>61</v>
      </c>
      <c r="B74" s="12">
        <f t="shared" si="15"/>
        <v>4738920</v>
      </c>
      <c r="C74" s="25">
        <f>SUM(C75:C76)</f>
        <v>320238</v>
      </c>
      <c r="D74" s="25">
        <f t="shared" ref="D74:N74" si="25">SUM(D75:D76)</f>
        <v>400252</v>
      </c>
      <c r="E74" s="25">
        <f t="shared" si="25"/>
        <v>408543</v>
      </c>
      <c r="F74" s="25">
        <f t="shared" si="25"/>
        <v>448368</v>
      </c>
      <c r="G74" s="25">
        <f t="shared" si="25"/>
        <v>435099</v>
      </c>
      <c r="H74" s="25">
        <f t="shared" si="25"/>
        <v>470019</v>
      </c>
      <c r="I74" s="25">
        <f t="shared" si="25"/>
        <v>366747</v>
      </c>
      <c r="J74" s="25">
        <f t="shared" si="25"/>
        <v>326574</v>
      </c>
      <c r="K74" s="25">
        <f t="shared" si="25"/>
        <v>390770</v>
      </c>
      <c r="L74" s="55">
        <f t="shared" si="25"/>
        <v>390770</v>
      </c>
      <c r="M74" s="55">
        <f t="shared" si="25"/>
        <v>390770</v>
      </c>
      <c r="N74" s="55">
        <f t="shared" si="25"/>
        <v>390770</v>
      </c>
    </row>
    <row r="75" spans="1:14" hidden="1" outlineLevel="4">
      <c r="A75" s="24" t="s">
        <v>129</v>
      </c>
      <c r="B75" s="12">
        <f t="shared" si="15"/>
        <v>2579324</v>
      </c>
      <c r="C75" s="25">
        <v>174276</v>
      </c>
      <c r="D75" s="25">
        <v>227167</v>
      </c>
      <c r="E75" s="25">
        <v>189785</v>
      </c>
      <c r="F75" s="25">
        <v>265669</v>
      </c>
      <c r="G75" s="25">
        <v>259436</v>
      </c>
      <c r="H75" s="25">
        <v>233663</v>
      </c>
      <c r="I75" s="25">
        <v>170019</v>
      </c>
      <c r="J75" s="25">
        <v>155105</v>
      </c>
      <c r="K75" s="25">
        <v>226051</v>
      </c>
      <c r="L75" s="55">
        <v>226051</v>
      </c>
      <c r="M75" s="55">
        <v>226051</v>
      </c>
      <c r="N75" s="55">
        <v>226051</v>
      </c>
    </row>
    <row r="76" spans="1:14" hidden="1" outlineLevel="4">
      <c r="A76" s="24" t="s">
        <v>10</v>
      </c>
      <c r="B76" s="12">
        <f t="shared" si="15"/>
        <v>2159596</v>
      </c>
      <c r="C76" s="25">
        <v>145962</v>
      </c>
      <c r="D76" s="25">
        <v>173085</v>
      </c>
      <c r="E76" s="25">
        <v>218758</v>
      </c>
      <c r="F76" s="25">
        <v>182699</v>
      </c>
      <c r="G76" s="25">
        <v>175663</v>
      </c>
      <c r="H76" s="25">
        <v>236356</v>
      </c>
      <c r="I76" s="25">
        <v>196728</v>
      </c>
      <c r="J76" s="25">
        <v>171469</v>
      </c>
      <c r="K76" s="25">
        <v>164719</v>
      </c>
      <c r="L76" s="55">
        <v>164719</v>
      </c>
      <c r="M76" s="55">
        <v>164719</v>
      </c>
      <c r="N76" s="55">
        <v>164719</v>
      </c>
    </row>
    <row r="77" spans="1:14" hidden="1" outlineLevel="4">
      <c r="A77" s="34" t="s">
        <v>62</v>
      </c>
      <c r="B77" s="12">
        <f t="shared" si="15"/>
        <v>0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55">
        <v>0</v>
      </c>
      <c r="M77" s="55">
        <v>0</v>
      </c>
      <c r="N77" s="55">
        <v>0</v>
      </c>
    </row>
    <row r="78" spans="1:14" hidden="1" outlineLevel="4">
      <c r="A78" s="34" t="s">
        <v>63</v>
      </c>
      <c r="B78" s="12">
        <f t="shared" si="15"/>
        <v>1175840.29</v>
      </c>
      <c r="C78" s="25">
        <v>150124.79999999999</v>
      </c>
      <c r="D78" s="25">
        <v>184348</v>
      </c>
      <c r="E78" s="25">
        <v>20840</v>
      </c>
      <c r="F78" s="25">
        <v>190171.2</v>
      </c>
      <c r="G78" s="25">
        <v>184556</v>
      </c>
      <c r="H78" s="25">
        <v>113994</v>
      </c>
      <c r="I78" s="25">
        <v>16396.48</v>
      </c>
      <c r="J78" s="25">
        <v>59153.81</v>
      </c>
      <c r="K78" s="25">
        <v>106256</v>
      </c>
      <c r="L78" s="55">
        <v>50000</v>
      </c>
      <c r="M78" s="55">
        <v>50000</v>
      </c>
      <c r="N78" s="55">
        <v>50000</v>
      </c>
    </row>
    <row r="79" spans="1:14" collapsed="1">
      <c r="A79" s="15" t="s">
        <v>64</v>
      </c>
      <c r="B79" s="16">
        <f t="shared" si="15"/>
        <v>91078676.601696566</v>
      </c>
      <c r="C79" s="28">
        <f>C41-C43</f>
        <v>5964274.7122101132</v>
      </c>
      <c r="D79" s="28">
        <f t="shared" ref="D79:M79" si="26">D41-D43</f>
        <v>7414241.6389937103</v>
      </c>
      <c r="E79" s="28">
        <f t="shared" si="26"/>
        <v>8950061.3892319873</v>
      </c>
      <c r="F79" s="28">
        <f t="shared" si="26"/>
        <v>9522021.9708228819</v>
      </c>
      <c r="G79" s="28">
        <f t="shared" si="26"/>
        <v>10331788.188112659</v>
      </c>
      <c r="H79" s="28">
        <f t="shared" si="26"/>
        <v>9104123.46923884</v>
      </c>
      <c r="I79" s="28">
        <f t="shared" si="26"/>
        <v>12004830.6632339</v>
      </c>
      <c r="J79" s="28">
        <f t="shared" si="26"/>
        <v>9513241.5518939998</v>
      </c>
      <c r="K79" s="28">
        <f t="shared" si="26"/>
        <v>11598400.528348485</v>
      </c>
      <c r="L79" s="56">
        <f t="shared" si="26"/>
        <v>8006534.7958199978</v>
      </c>
      <c r="M79" s="56">
        <f t="shared" si="26"/>
        <v>1965641.4104899988</v>
      </c>
      <c r="N79" s="56">
        <f>N41-N43</f>
        <v>-3296483.7167000007</v>
      </c>
    </row>
    <row r="80" spans="1:14">
      <c r="A80" s="17" t="s">
        <v>65</v>
      </c>
      <c r="B80" s="18">
        <f>B79/B4</f>
        <v>7.1161964185663992E-2</v>
      </c>
      <c r="C80" s="29">
        <f>C79/C4</f>
        <v>7.5991767386407783E-2</v>
      </c>
      <c r="D80" s="29">
        <f t="shared" ref="D80:N80" si="27">D79/D4</f>
        <v>8.5993190526886004E-2</v>
      </c>
      <c r="E80" s="29">
        <f t="shared" si="27"/>
        <v>8.9431191659870971E-2</v>
      </c>
      <c r="F80" s="29">
        <f t="shared" si="27"/>
        <v>8.1576199109387515E-2</v>
      </c>
      <c r="G80" s="29">
        <f t="shared" si="27"/>
        <v>8.8568726830397015E-2</v>
      </c>
      <c r="H80" s="29">
        <f t="shared" si="27"/>
        <v>7.6686630551748181E-2</v>
      </c>
      <c r="I80" s="29">
        <f t="shared" si="27"/>
        <v>9.2465794672874399E-2</v>
      </c>
      <c r="J80" s="29">
        <f t="shared" si="27"/>
        <v>8.1100918578058748E-2</v>
      </c>
      <c r="K80" s="29">
        <f t="shared" si="27"/>
        <v>8.9245964165270295E-2</v>
      </c>
      <c r="L80" s="63">
        <f t="shared" si="27"/>
        <v>6.4589372700717546E-2</v>
      </c>
      <c r="M80" s="63">
        <f t="shared" si="27"/>
        <v>2.1790678471435832E-2</v>
      </c>
      <c r="N80" s="63">
        <f t="shared" si="27"/>
        <v>-4.5949079317485528E-2</v>
      </c>
    </row>
    <row r="81" spans="1:14" ht="19" collapsed="1">
      <c r="A81" s="11" t="s">
        <v>66</v>
      </c>
      <c r="B81" s="12">
        <f t="shared" ref="B81:B121" si="28">SUM(C81:N81)</f>
        <v>19106328.82</v>
      </c>
      <c r="C81" s="21">
        <f>C82+C85+C89</f>
        <v>1274107.2</v>
      </c>
      <c r="D81" s="21">
        <f>D82+D85+D89</f>
        <v>1487930.8599999999</v>
      </c>
      <c r="E81" s="21">
        <f>E82+E85+E89</f>
        <v>2199353.2000000002</v>
      </c>
      <c r="F81" s="21">
        <f>F82+F85+F89</f>
        <v>1289974.2</v>
      </c>
      <c r="G81" s="21">
        <f>G82+G85+G89</f>
        <v>1450388.24</v>
      </c>
      <c r="H81" s="21">
        <f t="shared" ref="H81:M81" si="29">H82+H85+H89</f>
        <v>1415927.32</v>
      </c>
      <c r="I81" s="21">
        <f t="shared" si="29"/>
        <v>1337316.8799999999</v>
      </c>
      <c r="J81" s="21">
        <f t="shared" si="29"/>
        <v>3300546.92</v>
      </c>
      <c r="K81" s="21">
        <f t="shared" si="29"/>
        <v>1337696</v>
      </c>
      <c r="L81" s="65">
        <f t="shared" si="29"/>
        <v>1337696</v>
      </c>
      <c r="M81" s="65">
        <f t="shared" si="29"/>
        <v>1337696</v>
      </c>
      <c r="N81" s="65">
        <f>N82+N85+N89</f>
        <v>1337696</v>
      </c>
    </row>
    <row r="82" spans="1:14" hidden="1" outlineLevel="1">
      <c r="A82" s="22" t="s">
        <v>67</v>
      </c>
      <c r="B82" s="12">
        <f t="shared" si="28"/>
        <v>16759655</v>
      </c>
      <c r="C82" s="23">
        <f>SUM(C83:C84)</f>
        <v>1224640</v>
      </c>
      <c r="D82" s="23">
        <f t="shared" ref="D82:N82" si="30">SUM(D83:D84)</f>
        <v>1232132</v>
      </c>
      <c r="E82" s="23">
        <f t="shared" si="30"/>
        <v>1239507</v>
      </c>
      <c r="F82" s="23">
        <f t="shared" si="30"/>
        <v>1236979</v>
      </c>
      <c r="G82" s="23">
        <f t="shared" si="30"/>
        <v>1235218</v>
      </c>
      <c r="H82" s="23">
        <f t="shared" si="30"/>
        <v>1311855</v>
      </c>
      <c r="I82" s="23">
        <f t="shared" si="30"/>
        <v>1172743</v>
      </c>
      <c r="J82" s="23">
        <f>SUM(J83:J84)</f>
        <v>3127981</v>
      </c>
      <c r="K82" s="23">
        <f t="shared" si="30"/>
        <v>1244650</v>
      </c>
      <c r="L82" s="57">
        <f t="shared" si="30"/>
        <v>1244650</v>
      </c>
      <c r="M82" s="57">
        <f t="shared" si="30"/>
        <v>1244650</v>
      </c>
      <c r="N82" s="57">
        <f t="shared" si="30"/>
        <v>1244650</v>
      </c>
    </row>
    <row r="83" spans="1:14" hidden="1" outlineLevel="2">
      <c r="A83" s="24" t="s">
        <v>129</v>
      </c>
      <c r="B83" s="12">
        <f t="shared" si="28"/>
        <v>16659655</v>
      </c>
      <c r="C83" s="25">
        <v>1224640</v>
      </c>
      <c r="D83" s="25">
        <v>1232132</v>
      </c>
      <c r="E83" s="25">
        <v>1239507</v>
      </c>
      <c r="F83" s="25">
        <v>1236979</v>
      </c>
      <c r="G83" s="25">
        <v>1235218</v>
      </c>
      <c r="H83" s="25">
        <v>1311855</v>
      </c>
      <c r="I83" s="25">
        <v>1172743</v>
      </c>
      <c r="J83" s="25">
        <v>3027981</v>
      </c>
      <c r="K83" s="25">
        <v>1244650</v>
      </c>
      <c r="L83" s="55">
        <v>1244650</v>
      </c>
      <c r="M83" s="55">
        <v>1244650</v>
      </c>
      <c r="N83" s="55">
        <v>1244650</v>
      </c>
    </row>
    <row r="84" spans="1:14" hidden="1" outlineLevel="2">
      <c r="A84" s="24" t="s">
        <v>10</v>
      </c>
      <c r="B84" s="12">
        <f t="shared" si="28"/>
        <v>100000</v>
      </c>
      <c r="C84" s="66"/>
      <c r="D84" s="66"/>
      <c r="E84" s="66"/>
      <c r="F84" s="66"/>
      <c r="G84" s="66"/>
      <c r="H84" s="66"/>
      <c r="I84" s="66"/>
      <c r="J84" s="66">
        <v>100000</v>
      </c>
      <c r="K84" s="66"/>
      <c r="L84" s="54"/>
      <c r="M84" s="54"/>
      <c r="N84" s="54"/>
    </row>
    <row r="85" spans="1:14" hidden="1" outlineLevel="1">
      <c r="A85" s="22" t="s">
        <v>68</v>
      </c>
      <c r="B85" s="12">
        <f t="shared" si="28"/>
        <v>2153631.16</v>
      </c>
      <c r="C85" s="23">
        <f>SUM(C86:C88)</f>
        <v>49467.199999999997</v>
      </c>
      <c r="D85" s="23">
        <f t="shared" ref="D85:N85" si="31">SUM(D86:D88)</f>
        <v>248697.2</v>
      </c>
      <c r="E85" s="23">
        <f t="shared" si="31"/>
        <v>959846.2</v>
      </c>
      <c r="F85" s="23">
        <f t="shared" si="31"/>
        <v>52995.199999999997</v>
      </c>
      <c r="G85" s="23">
        <f t="shared" si="31"/>
        <v>183989.24</v>
      </c>
      <c r="H85" s="23">
        <f t="shared" si="31"/>
        <v>54080.319999999992</v>
      </c>
      <c r="I85" s="23">
        <f t="shared" si="31"/>
        <v>95873.88</v>
      </c>
      <c r="J85" s="23">
        <f t="shared" si="31"/>
        <v>136497.92000000001</v>
      </c>
      <c r="K85" s="23">
        <f t="shared" si="31"/>
        <v>93046</v>
      </c>
      <c r="L85" s="57">
        <f t="shared" si="31"/>
        <v>93046</v>
      </c>
      <c r="M85" s="57">
        <f t="shared" si="31"/>
        <v>93046</v>
      </c>
      <c r="N85" s="57">
        <f t="shared" si="31"/>
        <v>93046</v>
      </c>
    </row>
    <row r="86" spans="1:14" hidden="1" outlineLevel="2">
      <c r="A86" s="24" t="s">
        <v>69</v>
      </c>
      <c r="B86" s="12">
        <f t="shared" si="28"/>
        <v>1817893.5999999999</v>
      </c>
      <c r="C86" s="25">
        <v>25333.599999999999</v>
      </c>
      <c r="D86" s="25">
        <v>216053.2</v>
      </c>
      <c r="E86" s="25">
        <v>950846.2</v>
      </c>
      <c r="F86" s="25">
        <v>29102.400000000001</v>
      </c>
      <c r="G86" s="25">
        <v>62848.800000000003</v>
      </c>
      <c r="H86" s="25">
        <v>36995.199999999997</v>
      </c>
      <c r="I86" s="25">
        <v>77328.600000000006</v>
      </c>
      <c r="J86" s="25">
        <v>118740.8</v>
      </c>
      <c r="K86" s="25">
        <v>75161.2</v>
      </c>
      <c r="L86" s="55">
        <v>75161.2</v>
      </c>
      <c r="M86" s="55">
        <v>75161.2</v>
      </c>
      <c r="N86" s="55">
        <v>75161.2</v>
      </c>
    </row>
    <row r="87" spans="1:14" hidden="1" outlineLevel="2">
      <c r="A87" s="24" t="s">
        <v>70</v>
      </c>
      <c r="B87" s="12">
        <f t="shared" si="28"/>
        <v>232106.55999999994</v>
      </c>
      <c r="C87" s="25">
        <v>24133.599999999999</v>
      </c>
      <c r="D87" s="25">
        <v>32644</v>
      </c>
      <c r="E87" s="25">
        <v>9000</v>
      </c>
      <c r="F87" s="25">
        <v>23892.799999999999</v>
      </c>
      <c r="G87" s="25">
        <v>17509.440000000002</v>
      </c>
      <c r="H87" s="25">
        <v>17085.12</v>
      </c>
      <c r="I87" s="25">
        <v>18545.28</v>
      </c>
      <c r="J87" s="25">
        <v>17757.12</v>
      </c>
      <c r="K87" s="25">
        <v>17884.8</v>
      </c>
      <c r="L87" s="55">
        <v>17884.8</v>
      </c>
      <c r="M87" s="55">
        <v>17884.8</v>
      </c>
      <c r="N87" s="55">
        <v>17884.8</v>
      </c>
    </row>
    <row r="88" spans="1:14" hidden="1" outlineLevel="2">
      <c r="A88" s="24" t="s">
        <v>71</v>
      </c>
      <c r="B88" s="12">
        <f t="shared" si="28"/>
        <v>103631</v>
      </c>
      <c r="C88" s="25">
        <v>0</v>
      </c>
      <c r="D88" s="25">
        <v>0</v>
      </c>
      <c r="E88" s="25">
        <v>0</v>
      </c>
      <c r="F88" s="25">
        <v>0</v>
      </c>
      <c r="G88" s="25">
        <v>103631</v>
      </c>
      <c r="H88" s="25">
        <v>0</v>
      </c>
      <c r="I88" s="25">
        <v>0</v>
      </c>
      <c r="J88" s="25">
        <v>0</v>
      </c>
      <c r="K88" s="25">
        <v>0</v>
      </c>
      <c r="L88" s="55">
        <v>0</v>
      </c>
      <c r="M88" s="55">
        <v>0</v>
      </c>
      <c r="N88" s="55">
        <v>0</v>
      </c>
    </row>
    <row r="89" spans="1:14" hidden="1" outlineLevel="1">
      <c r="A89" s="22" t="s">
        <v>72</v>
      </c>
      <c r="B89" s="12">
        <f t="shared" si="28"/>
        <v>193042.66</v>
      </c>
      <c r="C89" s="23">
        <f>SUM(C90:C91)</f>
        <v>0</v>
      </c>
      <c r="D89" s="23">
        <f t="shared" ref="D89:N89" si="32">SUM(D90:D91)</f>
        <v>7101.66</v>
      </c>
      <c r="E89" s="23">
        <f t="shared" si="32"/>
        <v>0</v>
      </c>
      <c r="F89" s="23">
        <f t="shared" si="32"/>
        <v>0</v>
      </c>
      <c r="G89" s="23">
        <f t="shared" si="32"/>
        <v>31181</v>
      </c>
      <c r="H89" s="23">
        <f t="shared" si="32"/>
        <v>49992</v>
      </c>
      <c r="I89" s="23">
        <f t="shared" si="32"/>
        <v>68700</v>
      </c>
      <c r="J89" s="23">
        <f>SUM(J90:J91)</f>
        <v>36068</v>
      </c>
      <c r="K89" s="23">
        <f t="shared" si="32"/>
        <v>0</v>
      </c>
      <c r="L89" s="57">
        <f t="shared" si="32"/>
        <v>0</v>
      </c>
      <c r="M89" s="57">
        <f t="shared" si="32"/>
        <v>0</v>
      </c>
      <c r="N89" s="57">
        <f t="shared" si="32"/>
        <v>0</v>
      </c>
    </row>
    <row r="90" spans="1:14" hidden="1" outlineLevel="2">
      <c r="A90" s="24" t="s">
        <v>73</v>
      </c>
      <c r="B90" s="12">
        <f t="shared" si="28"/>
        <v>193042.66</v>
      </c>
      <c r="C90" s="25">
        <v>0</v>
      </c>
      <c r="D90" s="25">
        <v>7101.66</v>
      </c>
      <c r="E90" s="25">
        <v>0</v>
      </c>
      <c r="F90" s="25">
        <v>0</v>
      </c>
      <c r="G90" s="25">
        <v>31181</v>
      </c>
      <c r="H90" s="25">
        <v>49992</v>
      </c>
      <c r="I90" s="25">
        <v>68700</v>
      </c>
      <c r="J90" s="25">
        <v>36068</v>
      </c>
      <c r="K90" s="25">
        <v>0</v>
      </c>
      <c r="L90" s="55">
        <v>0</v>
      </c>
      <c r="M90" s="55">
        <v>0</v>
      </c>
      <c r="N90" s="55">
        <v>0</v>
      </c>
    </row>
    <row r="91" spans="1:14" hidden="1" outlineLevel="2">
      <c r="A91" s="24" t="s">
        <v>74</v>
      </c>
      <c r="B91" s="12">
        <f t="shared" si="28"/>
        <v>0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55">
        <v>0</v>
      </c>
      <c r="M91" s="55">
        <v>0</v>
      </c>
      <c r="N91" s="55">
        <v>0</v>
      </c>
    </row>
    <row r="92" spans="1:14" ht="19" collapsed="1">
      <c r="A92" s="11" t="s">
        <v>75</v>
      </c>
      <c r="B92" s="12">
        <f t="shared" si="28"/>
        <v>39687836.650000006</v>
      </c>
      <c r="C92" s="21">
        <f>C93+C96+C101+C110+C114</f>
        <v>2726967.16</v>
      </c>
      <c r="D92" s="21">
        <f t="shared" ref="D92:M92" si="33">D93+D96+D101+D110+D114</f>
        <v>3035593.39</v>
      </c>
      <c r="E92" s="21">
        <f t="shared" si="33"/>
        <v>3984007.21</v>
      </c>
      <c r="F92" s="21">
        <f t="shared" si="33"/>
        <v>3249008.39</v>
      </c>
      <c r="G92" s="21">
        <f t="shared" si="33"/>
        <v>3039860.25</v>
      </c>
      <c r="H92" s="21">
        <f t="shared" si="33"/>
        <v>3431519.71</v>
      </c>
      <c r="I92" s="21">
        <f t="shared" si="33"/>
        <v>3485466.76</v>
      </c>
      <c r="J92" s="21">
        <f t="shared" si="33"/>
        <v>3205597.28</v>
      </c>
      <c r="K92" s="21">
        <f t="shared" si="33"/>
        <v>3579141.5</v>
      </c>
      <c r="L92" s="65">
        <f t="shared" si="33"/>
        <v>3000225</v>
      </c>
      <c r="M92" s="65">
        <f t="shared" si="33"/>
        <v>3120225</v>
      </c>
      <c r="N92" s="65">
        <f>N93+N96+N101+N110+N114</f>
        <v>3830225</v>
      </c>
    </row>
    <row r="93" spans="1:14" hidden="1" outlineLevel="1">
      <c r="A93" s="22" t="s">
        <v>76</v>
      </c>
      <c r="B93" s="12">
        <f t="shared" si="28"/>
        <v>21950237</v>
      </c>
      <c r="C93" s="23">
        <f>SUM(C94:C95)</f>
        <v>1219901</v>
      </c>
      <c r="D93" s="23">
        <f t="shared" ref="D93:N93" si="34">SUM(D94:D95)</f>
        <v>1899007</v>
      </c>
      <c r="E93" s="23">
        <f t="shared" si="34"/>
        <v>2616871</v>
      </c>
      <c r="F93" s="23">
        <f t="shared" si="34"/>
        <v>1865947</v>
      </c>
      <c r="G93" s="23">
        <f t="shared" si="34"/>
        <v>1773792</v>
      </c>
      <c r="H93" s="23">
        <f t="shared" si="34"/>
        <v>1924231</v>
      </c>
      <c r="I93" s="23">
        <f t="shared" si="34"/>
        <v>1760963</v>
      </c>
      <c r="J93" s="23">
        <f t="shared" si="34"/>
        <v>1823465</v>
      </c>
      <c r="K93" s="23">
        <f t="shared" si="34"/>
        <v>1766515</v>
      </c>
      <c r="L93" s="57">
        <f t="shared" si="34"/>
        <v>1766515</v>
      </c>
      <c r="M93" s="57">
        <f t="shared" si="34"/>
        <v>1766515</v>
      </c>
      <c r="N93" s="57">
        <f t="shared" si="34"/>
        <v>1766515</v>
      </c>
    </row>
    <row r="94" spans="1:14" hidden="1" outlineLevel="2">
      <c r="A94" s="24" t="s">
        <v>129</v>
      </c>
      <c r="B94" s="12">
        <f t="shared" si="28"/>
        <v>21950237</v>
      </c>
      <c r="C94" s="25">
        <v>1219901</v>
      </c>
      <c r="D94" s="25">
        <v>1899007</v>
      </c>
      <c r="E94" s="25">
        <v>2616871</v>
      </c>
      <c r="F94" s="25">
        <v>1865947</v>
      </c>
      <c r="G94" s="25">
        <v>1773792</v>
      </c>
      <c r="H94" s="25">
        <v>1924231</v>
      </c>
      <c r="I94" s="25">
        <v>1760963</v>
      </c>
      <c r="J94" s="25">
        <v>1823465</v>
      </c>
      <c r="K94" s="25">
        <v>1766515</v>
      </c>
      <c r="L94" s="55">
        <v>1766515</v>
      </c>
      <c r="M94" s="55">
        <v>1766515</v>
      </c>
      <c r="N94" s="55">
        <v>1766515</v>
      </c>
    </row>
    <row r="95" spans="1:14" hidden="1" outlineLevel="2">
      <c r="A95" s="24" t="s">
        <v>10</v>
      </c>
      <c r="B95" s="12">
        <f t="shared" si="28"/>
        <v>0</v>
      </c>
      <c r="C95" s="25"/>
      <c r="D95" s="25"/>
      <c r="E95" s="25"/>
      <c r="F95" s="25"/>
      <c r="G95" s="25"/>
      <c r="H95" s="25"/>
      <c r="I95" s="25"/>
      <c r="J95" s="25"/>
      <c r="K95" s="25"/>
      <c r="L95" s="55"/>
      <c r="M95" s="55"/>
      <c r="N95" s="55"/>
    </row>
    <row r="96" spans="1:14" hidden="1" outlineLevel="1">
      <c r="A96" s="22" t="s">
        <v>77</v>
      </c>
      <c r="B96" s="12">
        <f t="shared" si="28"/>
        <v>1120351.8</v>
      </c>
      <c r="C96" s="23">
        <f>SUM(C97:C100)</f>
        <v>166734.79999999999</v>
      </c>
      <c r="D96" s="23">
        <f t="shared" ref="D96:N96" si="35">SUM(D97:D100)</f>
        <v>42430</v>
      </c>
      <c r="E96" s="23">
        <f t="shared" si="35"/>
        <v>113016</v>
      </c>
      <c r="F96" s="23">
        <f t="shared" si="35"/>
        <v>80047</v>
      </c>
      <c r="G96" s="23">
        <f t="shared" si="35"/>
        <v>20547</v>
      </c>
      <c r="H96" s="23">
        <f t="shared" si="35"/>
        <v>25532</v>
      </c>
      <c r="I96" s="23">
        <f t="shared" si="35"/>
        <v>20147</v>
      </c>
      <c r="J96" s="23">
        <f t="shared" si="35"/>
        <v>16898</v>
      </c>
      <c r="K96" s="23">
        <f t="shared" si="35"/>
        <v>14000</v>
      </c>
      <c r="L96" s="57">
        <f t="shared" si="35"/>
        <v>7000</v>
      </c>
      <c r="M96" s="57">
        <f t="shared" si="35"/>
        <v>7000</v>
      </c>
      <c r="N96" s="57">
        <f t="shared" si="35"/>
        <v>607000</v>
      </c>
    </row>
    <row r="97" spans="1:14" hidden="1" outlineLevel="2">
      <c r="A97" s="24" t="s">
        <v>78</v>
      </c>
      <c r="B97" s="12">
        <f t="shared" si="28"/>
        <v>276344</v>
      </c>
      <c r="C97" s="25">
        <v>43527</v>
      </c>
      <c r="D97" s="25">
        <v>42430</v>
      </c>
      <c r="E97" s="25">
        <v>52216</v>
      </c>
      <c r="F97" s="25">
        <v>34047</v>
      </c>
      <c r="G97" s="25">
        <v>20547</v>
      </c>
      <c r="H97" s="25">
        <v>25532</v>
      </c>
      <c r="I97" s="25">
        <v>20147</v>
      </c>
      <c r="J97" s="25">
        <v>16898</v>
      </c>
      <c r="K97" s="25">
        <v>0</v>
      </c>
      <c r="L97" s="55">
        <v>7000</v>
      </c>
      <c r="M97" s="55">
        <v>7000</v>
      </c>
      <c r="N97" s="55">
        <v>7000</v>
      </c>
    </row>
    <row r="98" spans="1:14" hidden="1" outlineLevel="2">
      <c r="A98" s="24" t="s">
        <v>79</v>
      </c>
      <c r="B98" s="12">
        <f t="shared" si="28"/>
        <v>60000</v>
      </c>
      <c r="C98" s="25">
        <v>0</v>
      </c>
      <c r="D98" s="25">
        <v>0</v>
      </c>
      <c r="E98" s="25">
        <v>0</v>
      </c>
      <c r="F98" s="25">
        <v>46000</v>
      </c>
      <c r="G98" s="25">
        <v>0</v>
      </c>
      <c r="H98" s="25">
        <v>0</v>
      </c>
      <c r="I98" s="25">
        <v>0</v>
      </c>
      <c r="J98" s="25">
        <v>0</v>
      </c>
      <c r="K98" s="25">
        <v>14000</v>
      </c>
      <c r="L98" s="55">
        <v>0</v>
      </c>
      <c r="M98" s="55">
        <v>0</v>
      </c>
      <c r="N98" s="55">
        <v>0</v>
      </c>
    </row>
    <row r="99" spans="1:14" hidden="1" outlineLevel="2">
      <c r="A99" s="24" t="s">
        <v>80</v>
      </c>
      <c r="B99" s="12">
        <f t="shared" si="28"/>
        <v>723000</v>
      </c>
      <c r="C99" s="25">
        <v>123000</v>
      </c>
      <c r="D99" s="25">
        <v>0</v>
      </c>
      <c r="E99" s="25"/>
      <c r="F99" s="25"/>
      <c r="G99" s="25"/>
      <c r="H99" s="25">
        <v>0</v>
      </c>
      <c r="I99" s="25">
        <v>0</v>
      </c>
      <c r="J99" s="25">
        <v>0</v>
      </c>
      <c r="K99" s="25">
        <v>0</v>
      </c>
      <c r="L99" s="55"/>
      <c r="M99" s="55"/>
      <c r="N99" s="55">
        <v>600000</v>
      </c>
    </row>
    <row r="100" spans="1:14" hidden="1" outlineLevel="2">
      <c r="A100" s="24" t="s">
        <v>81</v>
      </c>
      <c r="B100" s="12">
        <f t="shared" si="28"/>
        <v>61007.8</v>
      </c>
      <c r="C100" s="25">
        <v>207.8</v>
      </c>
      <c r="D100" s="25">
        <v>0</v>
      </c>
      <c r="E100" s="25">
        <v>60800</v>
      </c>
      <c r="F100" s="25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55">
        <v>0</v>
      </c>
      <c r="M100" s="55">
        <v>0</v>
      </c>
      <c r="N100" s="55"/>
    </row>
    <row r="101" spans="1:14" hidden="1" outlineLevel="1">
      <c r="A101" s="22" t="s">
        <v>82</v>
      </c>
      <c r="B101" s="12">
        <f t="shared" si="28"/>
        <v>9081445.0199999996</v>
      </c>
      <c r="C101" s="23">
        <f>C102+C103+C104</f>
        <v>694038</v>
      </c>
      <c r="D101" s="23">
        <f t="shared" ref="D101:N101" si="36">D102+D103+D104</f>
        <v>783202.62</v>
      </c>
      <c r="E101" s="23">
        <f t="shared" si="36"/>
        <v>799963.69000000006</v>
      </c>
      <c r="F101" s="23">
        <f t="shared" si="36"/>
        <v>748004.99</v>
      </c>
      <c r="G101" s="23">
        <f t="shared" si="36"/>
        <v>763878.9</v>
      </c>
      <c r="H101" s="23">
        <f t="shared" si="36"/>
        <v>770499.3</v>
      </c>
      <c r="I101" s="23">
        <f t="shared" si="36"/>
        <v>738167.80999999994</v>
      </c>
      <c r="J101" s="23">
        <f t="shared" si="36"/>
        <v>750261.67</v>
      </c>
      <c r="K101" s="23">
        <f t="shared" si="36"/>
        <v>713298.04</v>
      </c>
      <c r="L101" s="57">
        <f t="shared" si="36"/>
        <v>716710</v>
      </c>
      <c r="M101" s="57">
        <f t="shared" si="36"/>
        <v>886710</v>
      </c>
      <c r="N101" s="57">
        <f t="shared" si="36"/>
        <v>716710</v>
      </c>
    </row>
    <row r="102" spans="1:14" hidden="1" outlineLevel="2">
      <c r="A102" s="24" t="s">
        <v>83</v>
      </c>
      <c r="B102" s="12">
        <f t="shared" si="28"/>
        <v>4520520</v>
      </c>
      <c r="C102" s="25">
        <v>376710</v>
      </c>
      <c r="D102" s="25">
        <v>376710</v>
      </c>
      <c r="E102" s="25">
        <v>376710</v>
      </c>
      <c r="F102" s="25">
        <v>376710</v>
      </c>
      <c r="G102" s="25">
        <v>376710</v>
      </c>
      <c r="H102" s="25">
        <v>376710</v>
      </c>
      <c r="I102" s="25">
        <v>376710</v>
      </c>
      <c r="J102" s="25">
        <v>376710</v>
      </c>
      <c r="K102" s="25">
        <v>376710</v>
      </c>
      <c r="L102" s="55">
        <v>376710</v>
      </c>
      <c r="M102" s="55">
        <v>376710</v>
      </c>
      <c r="N102" s="55">
        <v>376710</v>
      </c>
    </row>
    <row r="103" spans="1:14" hidden="1" outlineLevel="2">
      <c r="A103" s="24" t="s">
        <v>84</v>
      </c>
      <c r="B103" s="12">
        <f t="shared" si="28"/>
        <v>1372428.54</v>
      </c>
      <c r="C103" s="25">
        <v>141208.03</v>
      </c>
      <c r="D103" s="25">
        <v>108339.99</v>
      </c>
      <c r="E103" s="25">
        <v>129203.02</v>
      </c>
      <c r="F103" s="25">
        <v>110172.79000000001</v>
      </c>
      <c r="G103" s="25">
        <v>99708.96</v>
      </c>
      <c r="H103" s="25">
        <v>189974.3</v>
      </c>
      <c r="I103" s="25">
        <v>113994</v>
      </c>
      <c r="J103" s="25">
        <v>35476.21</v>
      </c>
      <c r="K103" s="25">
        <v>114351.24</v>
      </c>
      <c r="L103" s="55">
        <v>110000</v>
      </c>
      <c r="M103" s="55">
        <v>110000</v>
      </c>
      <c r="N103" s="55">
        <v>110000</v>
      </c>
    </row>
    <row r="104" spans="1:14" hidden="1" outlineLevel="2" collapsed="1">
      <c r="A104" s="24" t="s">
        <v>85</v>
      </c>
      <c r="B104" s="12">
        <f t="shared" si="28"/>
        <v>3188496.48</v>
      </c>
      <c r="C104" s="25">
        <f>SUM(C105:C109)</f>
        <v>176119.97</v>
      </c>
      <c r="D104" s="25">
        <f t="shared" ref="D104:M104" si="37">SUM(D105:D109)</f>
        <v>298152.63</v>
      </c>
      <c r="E104" s="25">
        <f t="shared" si="37"/>
        <v>294050.67000000004</v>
      </c>
      <c r="F104" s="25">
        <f t="shared" si="37"/>
        <v>261122.2</v>
      </c>
      <c r="G104" s="25">
        <f t="shared" si="37"/>
        <v>287459.94</v>
      </c>
      <c r="H104" s="25">
        <f t="shared" si="37"/>
        <v>203815</v>
      </c>
      <c r="I104" s="25">
        <f t="shared" si="37"/>
        <v>247463.80999999997</v>
      </c>
      <c r="J104" s="25">
        <f t="shared" si="37"/>
        <v>338075.46</v>
      </c>
      <c r="K104" s="25">
        <f t="shared" si="37"/>
        <v>222236.80000000002</v>
      </c>
      <c r="L104" s="55">
        <f t="shared" si="37"/>
        <v>230000</v>
      </c>
      <c r="M104" s="55">
        <f t="shared" si="37"/>
        <v>400000</v>
      </c>
      <c r="N104" s="55">
        <f>SUM(N105:N109)</f>
        <v>230000</v>
      </c>
    </row>
    <row r="105" spans="1:14" hidden="1" outlineLevel="3">
      <c r="A105" s="35" t="s">
        <v>86</v>
      </c>
      <c r="B105" s="12">
        <f t="shared" si="28"/>
        <v>1837767.59</v>
      </c>
      <c r="C105" s="25">
        <v>144972.78</v>
      </c>
      <c r="D105" s="25">
        <v>160182.21999999997</v>
      </c>
      <c r="E105" s="25">
        <v>171916.62000000002</v>
      </c>
      <c r="F105" s="25">
        <v>176023.97</v>
      </c>
      <c r="G105" s="25">
        <v>161375.43</v>
      </c>
      <c r="H105" s="25">
        <v>149381.66</v>
      </c>
      <c r="I105" s="25">
        <v>157435.90999999997</v>
      </c>
      <c r="J105" s="25">
        <v>158489.04</v>
      </c>
      <c r="K105" s="25">
        <v>137989.96000000002</v>
      </c>
      <c r="L105" s="55">
        <v>140000</v>
      </c>
      <c r="M105" s="55">
        <v>140000</v>
      </c>
      <c r="N105" s="55">
        <v>140000</v>
      </c>
    </row>
    <row r="106" spans="1:14" hidden="1" outlineLevel="3">
      <c r="A106" s="35" t="s">
        <v>87</v>
      </c>
      <c r="B106" s="12">
        <f t="shared" si="28"/>
        <v>74297.97</v>
      </c>
      <c r="C106" s="25">
        <v>3988</v>
      </c>
      <c r="D106" s="25">
        <v>6546</v>
      </c>
      <c r="E106" s="25">
        <v>2285.1</v>
      </c>
      <c r="F106" s="25">
        <v>1970</v>
      </c>
      <c r="G106" s="25">
        <v>0</v>
      </c>
      <c r="H106" s="25">
        <v>4090.5</v>
      </c>
      <c r="I106" s="25">
        <v>6202.37</v>
      </c>
      <c r="J106" s="25">
        <v>8981</v>
      </c>
      <c r="K106" s="25">
        <v>10235</v>
      </c>
      <c r="L106" s="55">
        <v>10000</v>
      </c>
      <c r="M106" s="55">
        <v>10000</v>
      </c>
      <c r="N106" s="55">
        <v>10000</v>
      </c>
    </row>
    <row r="107" spans="1:14" hidden="1" outlineLevel="3">
      <c r="A107" s="35" t="s">
        <v>88</v>
      </c>
      <c r="B107" s="12">
        <f t="shared" si="28"/>
        <v>729443.92</v>
      </c>
      <c r="C107" s="25">
        <v>22559.19</v>
      </c>
      <c r="D107" s="25">
        <v>98314.41</v>
      </c>
      <c r="E107" s="25">
        <v>64093.95</v>
      </c>
      <c r="F107" s="25">
        <v>54978.23</v>
      </c>
      <c r="G107" s="25">
        <v>94959.51</v>
      </c>
      <c r="H107" s="25">
        <v>27422.84</v>
      </c>
      <c r="I107" s="25">
        <v>54818.53</v>
      </c>
      <c r="J107" s="25">
        <v>89755.42</v>
      </c>
      <c r="K107" s="25">
        <v>57541.84</v>
      </c>
      <c r="L107" s="55">
        <v>55000</v>
      </c>
      <c r="M107" s="55">
        <v>55000</v>
      </c>
      <c r="N107" s="55">
        <v>55000</v>
      </c>
    </row>
    <row r="108" spans="1:14" hidden="1" outlineLevel="3">
      <c r="A108" s="35" t="s">
        <v>89</v>
      </c>
      <c r="B108" s="12">
        <f t="shared" si="28"/>
        <v>358310</v>
      </c>
      <c r="C108" s="25">
        <v>4600</v>
      </c>
      <c r="D108" s="25">
        <v>20540</v>
      </c>
      <c r="E108" s="25">
        <v>55755</v>
      </c>
      <c r="F108" s="25">
        <v>28150</v>
      </c>
      <c r="G108" s="25">
        <v>31125</v>
      </c>
      <c r="H108" s="25">
        <v>18640</v>
      </c>
      <c r="I108" s="25">
        <v>27180</v>
      </c>
      <c r="J108" s="25">
        <v>80850</v>
      </c>
      <c r="K108" s="25">
        <v>16470</v>
      </c>
      <c r="L108" s="55">
        <v>25000</v>
      </c>
      <c r="M108" s="55">
        <v>25000</v>
      </c>
      <c r="N108" s="55">
        <v>25000</v>
      </c>
    </row>
    <row r="109" spans="1:14" hidden="1" outlineLevel="3">
      <c r="A109" s="35" t="s">
        <v>90</v>
      </c>
      <c r="B109" s="12">
        <f t="shared" si="28"/>
        <v>188677</v>
      </c>
      <c r="C109" s="25">
        <v>0</v>
      </c>
      <c r="D109" s="25">
        <v>12570</v>
      </c>
      <c r="E109" s="25">
        <v>0</v>
      </c>
      <c r="F109" s="25">
        <v>0</v>
      </c>
      <c r="G109" s="25">
        <v>0</v>
      </c>
      <c r="H109" s="25">
        <v>4280</v>
      </c>
      <c r="I109" s="25">
        <v>1827</v>
      </c>
      <c r="J109" s="25">
        <v>0</v>
      </c>
      <c r="K109" s="25">
        <v>0</v>
      </c>
      <c r="L109" s="55"/>
      <c r="M109" s="55">
        <v>170000</v>
      </c>
      <c r="N109" s="55"/>
    </row>
    <row r="110" spans="1:14" hidden="1" outlineLevel="1">
      <c r="A110" s="22" t="s">
        <v>91</v>
      </c>
      <c r="B110" s="12">
        <f t="shared" si="28"/>
        <v>6166771.1799999997</v>
      </c>
      <c r="C110" s="23">
        <f>SUM(C111:C113)</f>
        <v>539975.35999999987</v>
      </c>
      <c r="D110" s="23">
        <f t="shared" ref="D110:N110" si="38">SUM(D111:D113)</f>
        <v>247487.99000000002</v>
      </c>
      <c r="E110" s="23">
        <f t="shared" si="38"/>
        <v>240399.03000000003</v>
      </c>
      <c r="F110" s="23">
        <f t="shared" si="38"/>
        <v>470406.92999999993</v>
      </c>
      <c r="G110" s="23">
        <f t="shared" si="38"/>
        <v>463958.17</v>
      </c>
      <c r="H110" s="23">
        <f t="shared" si="38"/>
        <v>440112.33</v>
      </c>
      <c r="I110" s="23">
        <f t="shared" si="38"/>
        <v>839388.2</v>
      </c>
      <c r="J110" s="23">
        <f t="shared" si="38"/>
        <v>537255.47</v>
      </c>
      <c r="K110" s="23">
        <f t="shared" si="38"/>
        <v>917787.70000000019</v>
      </c>
      <c r="L110" s="57">
        <f t="shared" si="38"/>
        <v>430000</v>
      </c>
      <c r="M110" s="57">
        <f t="shared" si="38"/>
        <v>380000</v>
      </c>
      <c r="N110" s="57">
        <f t="shared" si="38"/>
        <v>660000</v>
      </c>
    </row>
    <row r="111" spans="1:14" hidden="1" outlineLevel="2">
      <c r="A111" s="24" t="s">
        <v>92</v>
      </c>
      <c r="B111" s="12">
        <f t="shared" si="28"/>
        <v>2655288.7799999998</v>
      </c>
      <c r="C111" s="25">
        <v>151418.35</v>
      </c>
      <c r="D111" s="25">
        <v>160592</v>
      </c>
      <c r="E111" s="25">
        <v>180134.73</v>
      </c>
      <c r="F111" s="25">
        <v>234427.65</v>
      </c>
      <c r="G111" s="25">
        <v>244007.55</v>
      </c>
      <c r="H111" s="25">
        <v>250542.01</v>
      </c>
      <c r="I111" s="25">
        <v>292615.90999999997</v>
      </c>
      <c r="J111" s="25">
        <v>226629.69</v>
      </c>
      <c r="K111" s="25">
        <v>284920.89</v>
      </c>
      <c r="L111" s="55">
        <v>250000</v>
      </c>
      <c r="M111" s="55">
        <v>200000</v>
      </c>
      <c r="N111" s="55">
        <v>180000</v>
      </c>
    </row>
    <row r="112" spans="1:14" hidden="1" outlineLevel="2">
      <c r="A112" s="24" t="s">
        <v>93</v>
      </c>
      <c r="B112" s="12">
        <f t="shared" si="28"/>
        <v>316951.21999999997</v>
      </c>
      <c r="C112" s="25">
        <v>22069.229999999996</v>
      </c>
      <c r="D112" s="25">
        <v>30230.360000000004</v>
      </c>
      <c r="E112" s="25">
        <v>17205.53</v>
      </c>
      <c r="F112" s="25">
        <v>20388.89</v>
      </c>
      <c r="G112" s="25">
        <v>23095.07</v>
      </c>
      <c r="H112" s="25">
        <v>26046.87</v>
      </c>
      <c r="I112" s="25">
        <v>33163.620000000003</v>
      </c>
      <c r="J112" s="25">
        <v>30199.47</v>
      </c>
      <c r="K112" s="25">
        <v>24552.179999999997</v>
      </c>
      <c r="L112" s="55">
        <v>30000</v>
      </c>
      <c r="M112" s="55">
        <v>30000</v>
      </c>
      <c r="N112" s="55">
        <v>30000</v>
      </c>
    </row>
    <row r="113" spans="1:14" hidden="1" outlineLevel="2">
      <c r="A113" s="24" t="s">
        <v>94</v>
      </c>
      <c r="B113" s="12">
        <f t="shared" si="28"/>
        <v>3194531.1799999997</v>
      </c>
      <c r="C113" s="25">
        <v>366487.77999999991</v>
      </c>
      <c r="D113" s="25">
        <v>56665.63</v>
      </c>
      <c r="E113" s="25">
        <v>43058.770000000004</v>
      </c>
      <c r="F113" s="25">
        <v>215590.38999999998</v>
      </c>
      <c r="G113" s="25">
        <v>196855.55</v>
      </c>
      <c r="H113" s="25">
        <v>163523.45000000001</v>
      </c>
      <c r="I113" s="25">
        <v>513608.66999999993</v>
      </c>
      <c r="J113" s="25">
        <v>280426.30999999994</v>
      </c>
      <c r="K113" s="25">
        <v>608314.63000000012</v>
      </c>
      <c r="L113" s="55">
        <v>150000</v>
      </c>
      <c r="M113" s="55">
        <v>150000</v>
      </c>
      <c r="N113" s="55">
        <v>450000</v>
      </c>
    </row>
    <row r="114" spans="1:14" hidden="1" outlineLevel="1">
      <c r="A114" s="22" t="s">
        <v>95</v>
      </c>
      <c r="B114" s="12">
        <f t="shared" si="28"/>
        <v>1369031.65</v>
      </c>
      <c r="C114" s="23">
        <f>SUM(C115:C120)</f>
        <v>106318</v>
      </c>
      <c r="D114" s="23">
        <f t="shared" ref="D114:M114" si="39">SUM(D115:D120)</f>
        <v>63465.78</v>
      </c>
      <c r="E114" s="23">
        <f t="shared" si="39"/>
        <v>213757.49</v>
      </c>
      <c r="F114" s="23">
        <f t="shared" si="39"/>
        <v>84602.47</v>
      </c>
      <c r="G114" s="23">
        <f t="shared" si="39"/>
        <v>17684.18</v>
      </c>
      <c r="H114" s="23">
        <f t="shared" si="39"/>
        <v>271145.08</v>
      </c>
      <c r="I114" s="23">
        <f t="shared" si="39"/>
        <v>126800.75</v>
      </c>
      <c r="J114" s="23">
        <f t="shared" si="39"/>
        <v>77717.14</v>
      </c>
      <c r="K114" s="23">
        <f t="shared" si="39"/>
        <v>167540.76</v>
      </c>
      <c r="L114" s="57">
        <f t="shared" si="39"/>
        <v>80000</v>
      </c>
      <c r="M114" s="57">
        <f t="shared" si="39"/>
        <v>80000</v>
      </c>
      <c r="N114" s="57">
        <f>SUM(N115:N120)</f>
        <v>80000</v>
      </c>
    </row>
    <row r="115" spans="1:14" hidden="1" outlineLevel="2">
      <c r="A115" s="24" t="s">
        <v>96</v>
      </c>
      <c r="B115" s="12">
        <f t="shared" si="28"/>
        <v>210000</v>
      </c>
      <c r="C115" s="25">
        <v>0</v>
      </c>
      <c r="D115" s="25">
        <v>0</v>
      </c>
      <c r="E115" s="25">
        <v>0</v>
      </c>
      <c r="F115" s="25">
        <v>0</v>
      </c>
      <c r="G115" s="25">
        <v>0</v>
      </c>
      <c r="H115" s="25">
        <v>210000</v>
      </c>
      <c r="I115" s="25">
        <v>0</v>
      </c>
      <c r="J115" s="25">
        <v>0</v>
      </c>
      <c r="K115" s="25">
        <v>0</v>
      </c>
      <c r="L115" s="55">
        <v>0</v>
      </c>
      <c r="M115" s="55">
        <v>0</v>
      </c>
      <c r="N115" s="55">
        <v>0</v>
      </c>
    </row>
    <row r="116" spans="1:14" hidden="1" outlineLevel="2">
      <c r="A116" s="24" t="s">
        <v>97</v>
      </c>
      <c r="B116" s="12">
        <f t="shared" si="28"/>
        <v>145850</v>
      </c>
      <c r="C116" s="25">
        <v>850</v>
      </c>
      <c r="D116" s="25">
        <v>0</v>
      </c>
      <c r="E116" s="25">
        <v>50000</v>
      </c>
      <c r="F116" s="25">
        <v>50000</v>
      </c>
      <c r="G116" s="25">
        <v>0</v>
      </c>
      <c r="H116" s="25">
        <v>0</v>
      </c>
      <c r="I116" s="25">
        <v>45000</v>
      </c>
      <c r="J116" s="25">
        <v>0</v>
      </c>
      <c r="K116" s="25">
        <v>0</v>
      </c>
      <c r="L116" s="55">
        <v>0</v>
      </c>
      <c r="M116" s="55">
        <v>0</v>
      </c>
      <c r="N116" s="55">
        <v>0</v>
      </c>
    </row>
    <row r="117" spans="1:14" hidden="1" outlineLevel="2">
      <c r="A117" s="24" t="s">
        <v>98</v>
      </c>
      <c r="B117" s="12">
        <f t="shared" si="28"/>
        <v>187258</v>
      </c>
      <c r="C117" s="25">
        <v>35000</v>
      </c>
      <c r="D117" s="25">
        <v>10600</v>
      </c>
      <c r="E117" s="25">
        <v>80050</v>
      </c>
      <c r="F117" s="25">
        <v>2800</v>
      </c>
      <c r="G117" s="25">
        <v>0</v>
      </c>
      <c r="H117" s="25">
        <v>22600</v>
      </c>
      <c r="I117" s="25">
        <v>0</v>
      </c>
      <c r="J117" s="25">
        <v>8094</v>
      </c>
      <c r="K117" s="25">
        <v>28114</v>
      </c>
      <c r="L117" s="55">
        <v>0</v>
      </c>
      <c r="M117" s="55">
        <v>0</v>
      </c>
      <c r="N117" s="55">
        <v>0</v>
      </c>
    </row>
    <row r="118" spans="1:14" hidden="1" outlineLevel="2">
      <c r="A118" s="24" t="s">
        <v>99</v>
      </c>
      <c r="B118" s="12">
        <f t="shared" si="28"/>
        <v>0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55">
        <v>0</v>
      </c>
      <c r="M118" s="55">
        <v>0</v>
      </c>
      <c r="N118" s="55">
        <v>0</v>
      </c>
    </row>
    <row r="119" spans="1:14" hidden="1" outlineLevel="2">
      <c r="A119" s="24" t="s">
        <v>100</v>
      </c>
      <c r="B119" s="12">
        <f t="shared" si="28"/>
        <v>825923.65</v>
      </c>
      <c r="C119" s="25">
        <v>70468</v>
      </c>
      <c r="D119" s="25">
        <v>52865.78</v>
      </c>
      <c r="E119" s="25">
        <v>83707.490000000005</v>
      </c>
      <c r="F119" s="25">
        <v>31802.47</v>
      </c>
      <c r="G119" s="25">
        <v>17684.18</v>
      </c>
      <c r="H119" s="25">
        <v>38545.08</v>
      </c>
      <c r="I119" s="25">
        <v>81800.75</v>
      </c>
      <c r="J119" s="25">
        <v>69623.14</v>
      </c>
      <c r="K119" s="25">
        <v>139426.76</v>
      </c>
      <c r="L119" s="55">
        <v>80000</v>
      </c>
      <c r="M119" s="55">
        <v>80000</v>
      </c>
      <c r="N119" s="55">
        <v>80000</v>
      </c>
    </row>
    <row r="120" spans="1:14" hidden="1" outlineLevel="2">
      <c r="A120" s="36" t="s">
        <v>101</v>
      </c>
      <c r="B120" s="12">
        <f t="shared" si="28"/>
        <v>0</v>
      </c>
      <c r="C120" s="37">
        <v>0</v>
      </c>
      <c r="D120" s="37"/>
      <c r="E120" s="37">
        <v>0</v>
      </c>
      <c r="F120" s="37">
        <v>0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62">
        <v>0</v>
      </c>
      <c r="M120" s="62">
        <v>0</v>
      </c>
      <c r="N120" s="62">
        <v>0</v>
      </c>
    </row>
    <row r="121" spans="1:14" collapsed="1">
      <c r="A121" s="15" t="s">
        <v>102</v>
      </c>
      <c r="B121" s="16">
        <f t="shared" si="28"/>
        <v>32284511.131696567</v>
      </c>
      <c r="C121" s="28">
        <f>C79-C81-C92</f>
        <v>1963200.3522101128</v>
      </c>
      <c r="D121" s="28">
        <f t="shared" ref="D121:N121" si="40">D79-D81-D92</f>
        <v>2890717.3889937107</v>
      </c>
      <c r="E121" s="28">
        <f t="shared" si="40"/>
        <v>2766700.9792319871</v>
      </c>
      <c r="F121" s="28">
        <f t="shared" si="40"/>
        <v>4983039.3808228821</v>
      </c>
      <c r="G121" s="28">
        <f t="shared" si="40"/>
        <v>5841539.6981126592</v>
      </c>
      <c r="H121" s="28">
        <f t="shared" si="40"/>
        <v>4256676.4392388398</v>
      </c>
      <c r="I121" s="28">
        <f t="shared" si="40"/>
        <v>7182047.0232338998</v>
      </c>
      <c r="J121" s="28">
        <f t="shared" si="40"/>
        <v>3007097.3518940001</v>
      </c>
      <c r="K121" s="28">
        <f t="shared" si="40"/>
        <v>6681563.028348485</v>
      </c>
      <c r="L121" s="56">
        <f t="shared" si="40"/>
        <v>3668613.7958199978</v>
      </c>
      <c r="M121" s="56">
        <f t="shared" si="40"/>
        <v>-2492279.5895100012</v>
      </c>
      <c r="N121" s="56">
        <f t="shared" si="40"/>
        <v>-8464404.7167000007</v>
      </c>
    </row>
    <row r="122" spans="1:14">
      <c r="A122" s="17" t="s">
        <v>103</v>
      </c>
      <c r="B122" s="18">
        <f>B121/B4</f>
        <v>2.5224666306390607E-2</v>
      </c>
      <c r="C122" s="29">
        <f>C121/C4</f>
        <v>2.5013446176891836E-2</v>
      </c>
      <c r="D122" s="29">
        <f t="shared" ref="D122:N122" si="41">D121/D4</f>
        <v>3.3527638198861988E-2</v>
      </c>
      <c r="E122" s="29">
        <f t="shared" si="41"/>
        <v>2.7645549541921152E-2</v>
      </c>
      <c r="F122" s="29">
        <f t="shared" si="41"/>
        <v>4.2690240995610466E-2</v>
      </c>
      <c r="G122" s="29">
        <f t="shared" si="41"/>
        <v>5.0076300865936646E-2</v>
      </c>
      <c r="H122" s="29">
        <f t="shared" si="41"/>
        <v>3.5855200621694928E-2</v>
      </c>
      <c r="I122" s="29">
        <f t="shared" si="41"/>
        <v>5.5318871545196692E-2</v>
      </c>
      <c r="J122" s="29">
        <f t="shared" si="41"/>
        <v>2.5635673830199067E-2</v>
      </c>
      <c r="K122" s="29">
        <f t="shared" si="41"/>
        <v>5.1412479948292684E-2</v>
      </c>
      <c r="L122" s="63">
        <f t="shared" si="41"/>
        <v>2.9595008302083337E-2</v>
      </c>
      <c r="M122" s="63">
        <f t="shared" si="41"/>
        <v>-2.7628876206060596E-2</v>
      </c>
      <c r="N122" s="63">
        <f t="shared" si="41"/>
        <v>-0.11798377820967772</v>
      </c>
    </row>
    <row r="123" spans="1:14" ht="19">
      <c r="A123" s="11" t="s">
        <v>104</v>
      </c>
      <c r="B123" s="12">
        <f t="shared" ref="B123:B128" si="42">SUM(C123:N123)</f>
        <v>686000</v>
      </c>
      <c r="C123" s="21">
        <f>SUM(C124:C129)</f>
        <v>84000</v>
      </c>
      <c r="D123" s="21">
        <f t="shared" ref="D123:N123" si="43">SUM(D124:D129)</f>
        <v>84000</v>
      </c>
      <c r="E123" s="21">
        <f t="shared" si="43"/>
        <v>84000</v>
      </c>
      <c r="F123" s="21">
        <f t="shared" si="43"/>
        <v>84000</v>
      </c>
      <c r="G123" s="21">
        <f t="shared" si="43"/>
        <v>84000</v>
      </c>
      <c r="H123" s="21">
        <f t="shared" si="43"/>
        <v>29000</v>
      </c>
      <c r="I123" s="21">
        <f t="shared" si="43"/>
        <v>29000</v>
      </c>
      <c r="J123" s="21">
        <f t="shared" si="43"/>
        <v>29000</v>
      </c>
      <c r="K123" s="21">
        <f t="shared" si="43"/>
        <v>29000</v>
      </c>
      <c r="L123" s="65">
        <f t="shared" si="43"/>
        <v>50000</v>
      </c>
      <c r="M123" s="65">
        <f t="shared" si="43"/>
        <v>50000</v>
      </c>
      <c r="N123" s="65">
        <f t="shared" si="43"/>
        <v>50000</v>
      </c>
    </row>
    <row r="124" spans="1:14" outlineLevel="2">
      <c r="A124" s="38" t="s">
        <v>105</v>
      </c>
      <c r="B124" s="12">
        <f t="shared" si="42"/>
        <v>0</v>
      </c>
      <c r="C124" s="25"/>
      <c r="D124" s="25"/>
      <c r="E124" s="25"/>
      <c r="F124" s="25"/>
      <c r="G124" s="25"/>
      <c r="H124" s="25"/>
      <c r="I124" s="25"/>
      <c r="J124" s="25"/>
      <c r="K124" s="25"/>
      <c r="L124" s="55"/>
      <c r="M124" s="55"/>
      <c r="N124" s="55"/>
    </row>
    <row r="125" spans="1:14" outlineLevel="2">
      <c r="A125" s="38" t="s">
        <v>106</v>
      </c>
      <c r="B125" s="12">
        <f t="shared" si="42"/>
        <v>686000</v>
      </c>
      <c r="C125" s="25">
        <v>84000</v>
      </c>
      <c r="D125" s="25">
        <v>84000</v>
      </c>
      <c r="E125" s="25">
        <v>84000</v>
      </c>
      <c r="F125" s="25">
        <v>84000</v>
      </c>
      <c r="G125" s="25">
        <v>84000</v>
      </c>
      <c r="H125" s="25">
        <v>29000</v>
      </c>
      <c r="I125" s="25">
        <v>29000</v>
      </c>
      <c r="J125" s="25">
        <v>29000</v>
      </c>
      <c r="K125" s="25">
        <v>29000</v>
      </c>
      <c r="L125" s="55">
        <v>50000</v>
      </c>
      <c r="M125" s="55">
        <v>50000</v>
      </c>
      <c r="N125" s="55">
        <v>50000</v>
      </c>
    </row>
    <row r="126" spans="1:14" outlineLevel="2">
      <c r="A126" s="38" t="s">
        <v>107</v>
      </c>
      <c r="B126" s="12">
        <f t="shared" si="42"/>
        <v>0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55"/>
      <c r="M126" s="55"/>
      <c r="N126" s="55"/>
    </row>
    <row r="127" spans="1:14" outlineLevel="2">
      <c r="A127" s="38" t="s">
        <v>108</v>
      </c>
      <c r="B127" s="12">
        <f t="shared" si="42"/>
        <v>0</v>
      </c>
      <c r="C127" s="25"/>
      <c r="D127" s="25"/>
      <c r="E127" s="25"/>
      <c r="F127" s="25"/>
      <c r="G127" s="25"/>
      <c r="H127" s="25"/>
      <c r="I127" s="25"/>
      <c r="J127" s="25"/>
      <c r="K127" s="25"/>
      <c r="L127" s="55"/>
      <c r="M127" s="55"/>
      <c r="N127" s="55"/>
    </row>
    <row r="128" spans="1:14" outlineLevel="2">
      <c r="A128" s="38" t="s">
        <v>109</v>
      </c>
      <c r="B128" s="12">
        <f t="shared" si="42"/>
        <v>0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55"/>
      <c r="M128" s="55"/>
      <c r="N128" s="55"/>
    </row>
    <row r="129" spans="1:14" outlineLevel="2">
      <c r="A129" s="40" t="s">
        <v>110</v>
      </c>
      <c r="B129" s="12"/>
      <c r="C129" s="25"/>
      <c r="D129" s="25"/>
      <c r="E129" s="25"/>
      <c r="F129" s="25"/>
      <c r="G129" s="25"/>
      <c r="H129" s="25"/>
      <c r="I129" s="25"/>
      <c r="J129" s="25"/>
      <c r="K129" s="25"/>
      <c r="L129" s="55"/>
      <c r="M129" s="55"/>
      <c r="N129" s="55"/>
    </row>
    <row r="130" spans="1:14" ht="19">
      <c r="A130" s="11" t="s">
        <v>111</v>
      </c>
      <c r="B130" s="12">
        <f t="shared" ref="B130:B135" si="44">SUM(C130:N130)</f>
        <v>9133162.9699999988</v>
      </c>
      <c r="C130" s="21">
        <f>SUM(C131:C134)</f>
        <v>789570.51</v>
      </c>
      <c r="D130" s="21">
        <f t="shared" ref="D130:N130" si="45">SUM(D131:D134)</f>
        <v>789988.24</v>
      </c>
      <c r="E130" s="21">
        <f t="shared" si="45"/>
        <v>713537.8</v>
      </c>
      <c r="F130" s="21">
        <f t="shared" si="45"/>
        <v>868917.85</v>
      </c>
      <c r="G130" s="21">
        <f t="shared" si="45"/>
        <v>792328.77</v>
      </c>
      <c r="H130" s="21">
        <f t="shared" si="45"/>
        <v>787964.64</v>
      </c>
      <c r="I130" s="21">
        <f t="shared" si="45"/>
        <v>754923.6</v>
      </c>
      <c r="J130" s="21">
        <f t="shared" si="45"/>
        <v>721184.74</v>
      </c>
      <c r="K130" s="21">
        <f t="shared" si="45"/>
        <v>704746.82</v>
      </c>
      <c r="L130" s="65">
        <f t="shared" si="45"/>
        <v>650000</v>
      </c>
      <c r="M130" s="65">
        <f t="shared" si="45"/>
        <v>910000</v>
      </c>
      <c r="N130" s="65">
        <f t="shared" si="45"/>
        <v>650000</v>
      </c>
    </row>
    <row r="131" spans="1:14" outlineLevel="2">
      <c r="A131" s="38" t="s">
        <v>112</v>
      </c>
      <c r="B131" s="12">
        <f t="shared" si="44"/>
        <v>8807381.4499999993</v>
      </c>
      <c r="C131" s="25">
        <v>789570.51</v>
      </c>
      <c r="D131" s="25">
        <v>789988.24</v>
      </c>
      <c r="E131" s="25">
        <v>713537.8</v>
      </c>
      <c r="F131" s="25">
        <v>803136.33</v>
      </c>
      <c r="G131" s="25">
        <v>792328.77</v>
      </c>
      <c r="H131" s="25">
        <v>787964.64</v>
      </c>
      <c r="I131" s="25">
        <v>754923.6</v>
      </c>
      <c r="J131" s="25">
        <v>721184.74</v>
      </c>
      <c r="K131" s="25">
        <v>704746.82</v>
      </c>
      <c r="L131" s="55">
        <v>650000</v>
      </c>
      <c r="M131" s="55">
        <v>650000</v>
      </c>
      <c r="N131" s="55">
        <v>650000</v>
      </c>
    </row>
    <row r="132" spans="1:14" outlineLevel="2">
      <c r="A132" s="38" t="s">
        <v>113</v>
      </c>
      <c r="B132" s="12">
        <f t="shared" si="44"/>
        <v>0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55"/>
      <c r="M132" s="55"/>
      <c r="N132" s="55"/>
    </row>
    <row r="133" spans="1:14" outlineLevel="2">
      <c r="A133" s="38" t="s">
        <v>114</v>
      </c>
      <c r="B133" s="12">
        <f t="shared" si="44"/>
        <v>0</v>
      </c>
      <c r="C133" s="25"/>
      <c r="D133" s="25"/>
      <c r="E133" s="25"/>
      <c r="F133" s="25"/>
      <c r="G133" s="25"/>
      <c r="H133" s="25"/>
      <c r="I133" s="25"/>
      <c r="J133" s="25"/>
      <c r="K133" s="25"/>
      <c r="L133" s="55"/>
      <c r="M133" s="55"/>
      <c r="N133" s="55"/>
    </row>
    <row r="134" spans="1:14" outlineLevel="2">
      <c r="A134" s="40" t="s">
        <v>115</v>
      </c>
      <c r="B134" s="12">
        <f t="shared" si="44"/>
        <v>325781.52</v>
      </c>
      <c r="C134" s="25">
        <v>0</v>
      </c>
      <c r="D134" s="25">
        <v>0</v>
      </c>
      <c r="E134" s="25">
        <v>0</v>
      </c>
      <c r="F134" s="25">
        <v>65781.52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55">
        <v>0</v>
      </c>
      <c r="M134" s="55">
        <v>260000</v>
      </c>
      <c r="N134" s="55"/>
    </row>
    <row r="135" spans="1:14" collapsed="1">
      <c r="A135" s="15" t="s">
        <v>116</v>
      </c>
      <c r="B135" s="16">
        <f t="shared" si="44"/>
        <v>23837348.161696568</v>
      </c>
      <c r="C135" s="28">
        <f>C121+C123-C130</f>
        <v>1257629.8422101128</v>
      </c>
      <c r="D135" s="28">
        <f t="shared" ref="D135:N135" si="46">D121+D123-D130</f>
        <v>2184729.148993711</v>
      </c>
      <c r="E135" s="28">
        <f t="shared" si="46"/>
        <v>2137163.1792319873</v>
      </c>
      <c r="F135" s="28">
        <f t="shared" si="46"/>
        <v>4198121.5308228824</v>
      </c>
      <c r="G135" s="28">
        <f t="shared" si="46"/>
        <v>5133210.9281126596</v>
      </c>
      <c r="H135" s="28">
        <f t="shared" si="46"/>
        <v>3497711.7992388397</v>
      </c>
      <c r="I135" s="28">
        <f t="shared" si="46"/>
        <v>6456123.4232339002</v>
      </c>
      <c r="J135" s="28">
        <f t="shared" si="46"/>
        <v>2314912.6118940003</v>
      </c>
      <c r="K135" s="28">
        <f t="shared" si="46"/>
        <v>6005816.2083484847</v>
      </c>
      <c r="L135" s="56">
        <f t="shared" si="46"/>
        <v>3068613.7958199978</v>
      </c>
      <c r="M135" s="56">
        <f t="shared" si="46"/>
        <v>-3352279.5895100012</v>
      </c>
      <c r="N135" s="56">
        <f t="shared" si="46"/>
        <v>-9064404.7167000007</v>
      </c>
    </row>
    <row r="136" spans="1:14">
      <c r="A136" s="17" t="s">
        <v>117</v>
      </c>
      <c r="B136" s="41">
        <f>B135/B4</f>
        <v>1.8624694379147981E-2</v>
      </c>
      <c r="C136" s="29">
        <f>C135/C4</f>
        <v>1.6023660719682295E-2</v>
      </c>
      <c r="D136" s="29">
        <f t="shared" ref="D136:N136" si="47">D135/D4</f>
        <v>2.5339318450451315E-2</v>
      </c>
      <c r="E136" s="29">
        <f t="shared" si="47"/>
        <v>2.1355054627923174E-2</v>
      </c>
      <c r="F136" s="29">
        <f t="shared" si="47"/>
        <v>3.5965764302287012E-2</v>
      </c>
      <c r="G136" s="29">
        <f t="shared" si="47"/>
        <v>4.4004188643541074E-2</v>
      </c>
      <c r="H136" s="29">
        <f t="shared" si="47"/>
        <v>2.9462224829332719E-2</v>
      </c>
      <c r="I136" s="29">
        <f t="shared" si="47"/>
        <v>4.9727530490185766E-2</v>
      </c>
      <c r="J136" s="29">
        <f t="shared" si="47"/>
        <v>1.9734760042454613E-2</v>
      </c>
      <c r="K136" s="29">
        <f t="shared" si="47"/>
        <v>4.6212825363583954E-2</v>
      </c>
      <c r="L136" s="63">
        <f t="shared" si="47"/>
        <v>2.4754759104557489E-2</v>
      </c>
      <c r="M136" s="63">
        <f t="shared" si="47"/>
        <v>-3.7162651484412758E-2</v>
      </c>
      <c r="N136" s="63">
        <f t="shared" si="47"/>
        <v>-0.12634706769017004</v>
      </c>
    </row>
    <row r="137" spans="1:14" ht="19">
      <c r="A137" s="11" t="s">
        <v>118</v>
      </c>
      <c r="B137" s="12">
        <f t="shared" ref="B137:B149" si="48">SUM(C137:N137)</f>
        <v>85600522.63000001</v>
      </c>
      <c r="C137" s="42">
        <f>SUM(C138:C146)</f>
        <v>1681077.8099999998</v>
      </c>
      <c r="D137" s="42">
        <f t="shared" ref="D137:M137" si="49">SUM(D138:D146)</f>
        <v>2468752.0999999996</v>
      </c>
      <c r="E137" s="42">
        <f t="shared" si="49"/>
        <v>12977654.869999999</v>
      </c>
      <c r="F137" s="42">
        <f t="shared" si="49"/>
        <v>2519488.1300000004</v>
      </c>
      <c r="G137" s="42">
        <f t="shared" si="49"/>
        <v>2418390.5499999998</v>
      </c>
      <c r="H137" s="42">
        <f t="shared" si="49"/>
        <v>15305611.59</v>
      </c>
      <c r="I137" s="42">
        <f t="shared" si="49"/>
        <v>2453096.85</v>
      </c>
      <c r="J137" s="42">
        <f t="shared" si="49"/>
        <v>2400773.6799999997</v>
      </c>
      <c r="K137" s="42">
        <f t="shared" si="49"/>
        <v>23052958</v>
      </c>
      <c r="L137" s="61">
        <f>SUM(L138:L146)</f>
        <v>2508553.73</v>
      </c>
      <c r="M137" s="61">
        <f t="shared" si="49"/>
        <v>2508553.73</v>
      </c>
      <c r="N137" s="61">
        <f>SUM(N138:N146)</f>
        <v>15305611.59</v>
      </c>
    </row>
    <row r="138" spans="1:14" outlineLevel="2">
      <c r="A138" s="34" t="s">
        <v>130</v>
      </c>
      <c r="B138" s="12">
        <f t="shared" si="48"/>
        <v>53324520</v>
      </c>
      <c r="C138" s="25"/>
      <c r="D138" s="25"/>
      <c r="E138" s="25">
        <v>9731343</v>
      </c>
      <c r="F138" s="25"/>
      <c r="G138" s="25"/>
      <c r="H138" s="25">
        <v>11878608</v>
      </c>
      <c r="I138" s="25"/>
      <c r="J138" s="25"/>
      <c r="K138" s="25">
        <v>19835961</v>
      </c>
      <c r="L138" s="55"/>
      <c r="M138" s="55"/>
      <c r="N138" s="55">
        <v>11878608</v>
      </c>
    </row>
    <row r="139" spans="1:14" outlineLevel="2">
      <c r="A139" s="34" t="s">
        <v>120</v>
      </c>
      <c r="B139" s="12">
        <f t="shared" si="48"/>
        <v>1221629</v>
      </c>
      <c r="C139" s="25">
        <v>148562</v>
      </c>
      <c r="D139" s="25">
        <v>148562</v>
      </c>
      <c r="E139" s="25">
        <v>148566</v>
      </c>
      <c r="F139" s="25">
        <v>164843</v>
      </c>
      <c r="G139" s="25">
        <v>164843</v>
      </c>
      <c r="H139" s="25">
        <v>164845</v>
      </c>
      <c r="I139" s="25">
        <v>38854</v>
      </c>
      <c r="J139" s="25">
        <v>38854</v>
      </c>
      <c r="K139" s="25">
        <v>38855</v>
      </c>
      <c r="L139" s="55"/>
      <c r="M139" s="55"/>
      <c r="N139" s="55">
        <v>164845</v>
      </c>
    </row>
    <row r="140" spans="1:14" outlineLevel="2">
      <c r="A140" s="34" t="s">
        <v>121</v>
      </c>
      <c r="B140" s="12">
        <f t="shared" si="48"/>
        <v>136035</v>
      </c>
      <c r="C140" s="25"/>
      <c r="D140" s="25">
        <v>48457</v>
      </c>
      <c r="E140" s="25"/>
      <c r="F140" s="25">
        <v>43789</v>
      </c>
      <c r="G140" s="25"/>
      <c r="H140" s="25"/>
      <c r="I140" s="25"/>
      <c r="J140" s="25"/>
      <c r="K140" s="25">
        <v>43789</v>
      </c>
      <c r="L140" s="55"/>
      <c r="M140" s="55"/>
      <c r="N140" s="55"/>
    </row>
    <row r="141" spans="1:14" outlineLevel="2">
      <c r="A141" s="34" t="s">
        <v>119</v>
      </c>
      <c r="B141" s="12">
        <f t="shared" si="48"/>
        <v>3665010</v>
      </c>
      <c r="C141" s="25"/>
      <c r="D141" s="25"/>
      <c r="E141" s="25">
        <v>789204</v>
      </c>
      <c r="F141" s="25"/>
      <c r="G141" s="25"/>
      <c r="H141" s="25">
        <v>958589</v>
      </c>
      <c r="I141" s="25"/>
      <c r="J141" s="25"/>
      <c r="K141" s="25">
        <v>958628</v>
      </c>
      <c r="L141" s="55"/>
      <c r="M141" s="55"/>
      <c r="N141" s="55">
        <v>958589</v>
      </c>
    </row>
    <row r="142" spans="1:14" outlineLevel="2">
      <c r="A142" s="34" t="s">
        <v>131</v>
      </c>
      <c r="B142" s="12">
        <f t="shared" si="48"/>
        <v>0</v>
      </c>
      <c r="C142" s="25"/>
      <c r="D142" s="25">
        <v>0</v>
      </c>
      <c r="E142" s="25">
        <v>0</v>
      </c>
      <c r="F142" s="25">
        <v>0</v>
      </c>
      <c r="G142" s="25">
        <v>0</v>
      </c>
      <c r="H142" s="25">
        <v>0</v>
      </c>
      <c r="I142" s="25"/>
      <c r="J142" s="25"/>
      <c r="K142" s="25"/>
      <c r="L142" s="55"/>
      <c r="M142" s="55"/>
      <c r="N142" s="55">
        <v>0</v>
      </c>
    </row>
    <row r="143" spans="1:14" outlineLevel="2">
      <c r="A143" s="34" t="s">
        <v>122</v>
      </c>
      <c r="B143" s="12">
        <f t="shared" si="48"/>
        <v>0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55"/>
      <c r="M143" s="55"/>
      <c r="N143" s="55"/>
    </row>
    <row r="144" spans="1:14" outlineLevel="2">
      <c r="A144" s="34" t="s">
        <v>123</v>
      </c>
      <c r="B144" s="12">
        <f t="shared" si="48"/>
        <v>0</v>
      </c>
      <c r="C144" s="25"/>
      <c r="D144" s="25">
        <v>0</v>
      </c>
      <c r="E144" s="25">
        <v>0</v>
      </c>
      <c r="F144" s="25">
        <v>0</v>
      </c>
      <c r="G144" s="25">
        <v>0</v>
      </c>
      <c r="H144" s="25"/>
      <c r="I144" s="25"/>
      <c r="J144" s="25"/>
      <c r="K144" s="25"/>
      <c r="L144" s="55"/>
      <c r="M144" s="55"/>
      <c r="N144" s="55"/>
    </row>
    <row r="145" spans="1:14" outlineLevel="2">
      <c r="A145" s="34" t="s">
        <v>132</v>
      </c>
      <c r="B145" s="12">
        <f t="shared" si="48"/>
        <v>8612306.7100000009</v>
      </c>
      <c r="C145" s="25">
        <v>441091.70999999996</v>
      </c>
      <c r="D145" s="25">
        <v>669305</v>
      </c>
      <c r="E145" s="25">
        <v>779587</v>
      </c>
      <c r="F145" s="25">
        <v>763978</v>
      </c>
      <c r="G145" s="25">
        <v>695060</v>
      </c>
      <c r="H145" s="25">
        <v>772667</v>
      </c>
      <c r="I145" s="25">
        <v>827439</v>
      </c>
      <c r="J145" s="25">
        <v>777884</v>
      </c>
      <c r="K145" s="25">
        <v>692440</v>
      </c>
      <c r="L145" s="55">
        <v>710094</v>
      </c>
      <c r="M145" s="55">
        <v>710094</v>
      </c>
      <c r="N145" s="55">
        <v>772667</v>
      </c>
    </row>
    <row r="146" spans="1:14" outlineLevel="2">
      <c r="A146" s="34" t="s">
        <v>134</v>
      </c>
      <c r="B146" s="12">
        <f t="shared" si="48"/>
        <v>18641021.919999998</v>
      </c>
      <c r="C146" s="25">
        <v>1091424.0999999999</v>
      </c>
      <c r="D146" s="25">
        <v>1602428.0999999999</v>
      </c>
      <c r="E146" s="25">
        <v>1528954.8699999999</v>
      </c>
      <c r="F146" s="25">
        <v>1546878.1300000004</v>
      </c>
      <c r="G146" s="25">
        <v>1558487.5499999998</v>
      </c>
      <c r="H146" s="25">
        <v>1530902.59</v>
      </c>
      <c r="I146" s="25">
        <v>1586803.85</v>
      </c>
      <c r="J146" s="25">
        <v>1584035.68</v>
      </c>
      <c r="K146" s="25">
        <v>1483285</v>
      </c>
      <c r="L146" s="55">
        <v>1798459.73</v>
      </c>
      <c r="M146" s="55">
        <v>1798459.73</v>
      </c>
      <c r="N146" s="55">
        <v>1530902.59</v>
      </c>
    </row>
    <row r="147" spans="1:14">
      <c r="A147" s="43" t="s">
        <v>124</v>
      </c>
      <c r="B147" s="12">
        <f t="shared" si="48"/>
        <v>4062024</v>
      </c>
      <c r="C147" s="42">
        <f>SUM(C148:C149)</f>
        <v>338502</v>
      </c>
      <c r="D147" s="42">
        <f t="shared" ref="D147:N147" si="50">SUM(D148:D149)</f>
        <v>338502</v>
      </c>
      <c r="E147" s="42">
        <f t="shared" si="50"/>
        <v>338502</v>
      </c>
      <c r="F147" s="42">
        <f t="shared" si="50"/>
        <v>338502</v>
      </c>
      <c r="G147" s="42">
        <f t="shared" si="50"/>
        <v>338502</v>
      </c>
      <c r="H147" s="42">
        <f t="shared" si="50"/>
        <v>338502</v>
      </c>
      <c r="I147" s="42">
        <f t="shared" si="50"/>
        <v>338502</v>
      </c>
      <c r="J147" s="42">
        <f t="shared" si="50"/>
        <v>338502</v>
      </c>
      <c r="K147" s="42">
        <f t="shared" si="50"/>
        <v>338502</v>
      </c>
      <c r="L147" s="61">
        <f t="shared" si="50"/>
        <v>338502</v>
      </c>
      <c r="M147" s="61">
        <f t="shared" si="50"/>
        <v>338502</v>
      </c>
      <c r="N147" s="61">
        <f t="shared" si="50"/>
        <v>338502</v>
      </c>
    </row>
    <row r="148" spans="1:14" outlineLevel="2">
      <c r="A148" s="34" t="s">
        <v>125</v>
      </c>
      <c r="B148" s="12">
        <f t="shared" si="48"/>
        <v>4062024</v>
      </c>
      <c r="C148" s="25">
        <v>338502</v>
      </c>
      <c r="D148" s="25">
        <v>338502</v>
      </c>
      <c r="E148" s="25">
        <v>338502</v>
      </c>
      <c r="F148" s="25">
        <v>338502</v>
      </c>
      <c r="G148" s="25">
        <v>338502</v>
      </c>
      <c r="H148" s="25">
        <v>338502</v>
      </c>
      <c r="I148" s="25">
        <v>338502</v>
      </c>
      <c r="J148" s="25">
        <v>338502</v>
      </c>
      <c r="K148" s="25">
        <v>338502</v>
      </c>
      <c r="L148" s="55">
        <v>338502</v>
      </c>
      <c r="M148" s="55">
        <v>338502</v>
      </c>
      <c r="N148" s="55">
        <v>338502</v>
      </c>
    </row>
    <row r="149" spans="1:14" outlineLevel="2">
      <c r="A149" s="34" t="s">
        <v>126</v>
      </c>
      <c r="B149" s="12">
        <f t="shared" si="48"/>
        <v>0</v>
      </c>
      <c r="C149" s="25"/>
      <c r="D149" s="25"/>
      <c r="E149" s="25"/>
      <c r="F149" s="25"/>
      <c r="G149" s="25"/>
      <c r="H149" s="25"/>
      <c r="I149" s="25"/>
      <c r="J149" s="25"/>
      <c r="K149" s="25"/>
      <c r="L149" s="55"/>
      <c r="M149" s="55"/>
      <c r="N149" s="55"/>
    </row>
    <row r="150" spans="1:14" collapsed="1">
      <c r="A150" s="15" t="s">
        <v>127</v>
      </c>
      <c r="B150" s="16">
        <f>SUM(C150:N150)</f>
        <v>-65825198.46830342</v>
      </c>
      <c r="C150" s="28">
        <f>C135-C137-C147</f>
        <v>-761949.96778988698</v>
      </c>
      <c r="D150" s="28">
        <f t="shared" ref="D150:N150" si="51">D135-D137-D147</f>
        <v>-622524.95100628864</v>
      </c>
      <c r="E150" s="28">
        <f t="shared" si="51"/>
        <v>-11178993.690768011</v>
      </c>
      <c r="F150" s="28">
        <f t="shared" si="51"/>
        <v>1340131.4008228821</v>
      </c>
      <c r="G150" s="28">
        <f t="shared" si="51"/>
        <v>2376318.3781126598</v>
      </c>
      <c r="H150" s="28">
        <f t="shared" si="51"/>
        <v>-12146401.79076116</v>
      </c>
      <c r="I150" s="28">
        <f t="shared" si="51"/>
        <v>3664524.5732339001</v>
      </c>
      <c r="J150" s="28">
        <f t="shared" si="51"/>
        <v>-424363.06810599938</v>
      </c>
      <c r="K150" s="28">
        <f t="shared" si="51"/>
        <v>-17385643.791651517</v>
      </c>
      <c r="L150" s="56">
        <f t="shared" si="51"/>
        <v>221558.06581999781</v>
      </c>
      <c r="M150" s="56">
        <f t="shared" si="51"/>
        <v>-6199335.3195100017</v>
      </c>
      <c r="N150" s="56">
        <f t="shared" si="51"/>
        <v>-24708518.306699999</v>
      </c>
    </row>
    <row r="151" spans="1:14">
      <c r="A151" s="17" t="s">
        <v>128</v>
      </c>
      <c r="B151" s="18">
        <f>B150/B4</f>
        <v>-5.1430813343947696E-2</v>
      </c>
      <c r="C151" s="29">
        <f>C150/C4</f>
        <v>-9.708125045587301E-3</v>
      </c>
      <c r="D151" s="29">
        <f t="shared" ref="D151:N151" si="52">D150/D4</f>
        <v>-7.2202808225292547E-3</v>
      </c>
      <c r="E151" s="29">
        <f t="shared" si="52"/>
        <v>-0.11170322569255046</v>
      </c>
      <c r="F151" s="29">
        <f t="shared" si="52"/>
        <v>1.1481051642314399E-2</v>
      </c>
      <c r="G151" s="29">
        <f t="shared" si="52"/>
        <v>2.0370867991202888E-2</v>
      </c>
      <c r="H151" s="29">
        <f t="shared" si="52"/>
        <v>-0.10231260920487821</v>
      </c>
      <c r="I151" s="29">
        <f t="shared" si="52"/>
        <v>2.8225569045308783E-2</v>
      </c>
      <c r="J151" s="29">
        <f t="shared" si="52"/>
        <v>-3.6177189916036449E-3</v>
      </c>
      <c r="K151" s="29">
        <f t="shared" si="52"/>
        <v>-0.13377694096936138</v>
      </c>
      <c r="L151" s="63">
        <f t="shared" si="52"/>
        <v>1.7873270838177058E-3</v>
      </c>
      <c r="M151" s="63">
        <f t="shared" si="52"/>
        <v>-6.8724499780650969E-2</v>
      </c>
      <c r="N151" s="63">
        <f t="shared" si="52"/>
        <v>-0.34440748538829308</v>
      </c>
    </row>
    <row r="152" spans="1:14" ht="15">
      <c r="A152" s="4"/>
      <c r="B152" s="7"/>
    </row>
    <row r="153" spans="1:14" ht="15">
      <c r="A153" s="4"/>
      <c r="B153" s="4"/>
    </row>
    <row r="154" spans="1:14" ht="15">
      <c r="A154" s="4"/>
      <c r="B154" s="7"/>
      <c r="D154" s="44"/>
      <c r="F154" s="44"/>
    </row>
    <row r="155" spans="1:14" ht="15">
      <c r="A155" s="4"/>
      <c r="B155" s="4"/>
      <c r="D155" s="45"/>
      <c r="F155" s="45"/>
    </row>
    <row r="156" spans="1:14" ht="15">
      <c r="A156" s="4"/>
      <c r="B156" s="4"/>
    </row>
    <row r="157" spans="1:14" ht="15">
      <c r="A157" s="4"/>
      <c r="B157" s="4"/>
    </row>
    <row r="158" spans="1:14" ht="15">
      <c r="A158" s="4"/>
      <c r="B158" s="4"/>
      <c r="D158" s="46"/>
      <c r="F158" s="46"/>
    </row>
    <row r="159" spans="1:14" ht="15">
      <c r="A159" s="4"/>
      <c r="B159" s="4"/>
    </row>
    <row r="160" spans="1:14" ht="15">
      <c r="A160" s="4"/>
      <c r="B160" s="4"/>
      <c r="E160" s="25"/>
    </row>
    <row r="161" spans="1:8" ht="15">
      <c r="A161" s="4"/>
      <c r="B161" s="4"/>
    </row>
    <row r="162" spans="1:8" ht="15">
      <c r="A162" s="4"/>
      <c r="B162" s="4"/>
    </row>
    <row r="163" spans="1:8" ht="15">
      <c r="A163" s="4"/>
      <c r="B163" s="4"/>
    </row>
    <row r="164" spans="1:8" ht="15">
      <c r="A164" s="4"/>
      <c r="B164" s="4"/>
      <c r="E164" s="20"/>
      <c r="H164" s="39"/>
    </row>
    <row r="165" spans="1:8" ht="15">
      <c r="A165" s="4"/>
      <c r="B165" s="4"/>
      <c r="E165" s="39"/>
      <c r="H165" s="39"/>
    </row>
    <row r="166" spans="1:8" ht="15">
      <c r="A166" s="4"/>
      <c r="B166" s="4"/>
      <c r="E166" s="39"/>
      <c r="H166" s="39"/>
    </row>
    <row r="167" spans="1:8" ht="15">
      <c r="A167" s="4"/>
      <c r="B167" s="4"/>
      <c r="E167" s="39"/>
      <c r="F167" s="47"/>
    </row>
    <row r="168" spans="1:8" ht="15">
      <c r="A168" s="4"/>
      <c r="B168" s="4"/>
      <c r="E168" s="47"/>
      <c r="F168" s="48"/>
    </row>
    <row r="169" spans="1:8" ht="15">
      <c r="A169" s="4"/>
      <c r="B169" s="4"/>
      <c r="E169" s="47"/>
      <c r="F169" s="47"/>
    </row>
    <row r="170" spans="1:8" ht="15">
      <c r="A170" s="4"/>
      <c r="B170" s="4"/>
      <c r="D170" s="39"/>
      <c r="E170" s="48"/>
      <c r="F170" s="47"/>
    </row>
    <row r="171" spans="1:8" ht="15">
      <c r="A171" s="4"/>
      <c r="B171" s="4"/>
      <c r="C171" s="47"/>
      <c r="D171" s="39"/>
      <c r="E171" s="47"/>
      <c r="F171" s="47"/>
    </row>
    <row r="172" spans="1:8" ht="15">
      <c r="A172" s="4"/>
      <c r="B172" s="4"/>
      <c r="C172" s="47"/>
      <c r="D172" s="39"/>
      <c r="E172" s="47"/>
      <c r="F172" s="47"/>
    </row>
    <row r="173" spans="1:8" ht="15">
      <c r="A173" s="4"/>
      <c r="B173" s="4"/>
      <c r="C173" s="47"/>
      <c r="D173" s="39"/>
      <c r="E173" s="47"/>
      <c r="F173" s="48"/>
    </row>
    <row r="174" spans="1:8" ht="15">
      <c r="A174" s="4"/>
      <c r="B174" s="4"/>
      <c r="C174" s="47"/>
      <c r="D174" s="39"/>
      <c r="E174" s="47"/>
      <c r="F174" s="39"/>
    </row>
    <row r="175" spans="1:8" ht="15">
      <c r="A175" s="4"/>
      <c r="B175" s="4"/>
      <c r="C175" s="47"/>
      <c r="D175" s="39"/>
      <c r="E175" s="47"/>
      <c r="F175" s="39"/>
      <c r="G175" s="27"/>
    </row>
    <row r="176" spans="1:8" ht="15">
      <c r="A176" s="4"/>
      <c r="B176" s="4"/>
      <c r="C176" s="47"/>
      <c r="D176" s="39"/>
      <c r="E176" s="47"/>
      <c r="F176" s="39"/>
    </row>
    <row r="177" spans="1:8" ht="15">
      <c r="A177" s="4"/>
      <c r="B177" s="4"/>
      <c r="D177" s="39"/>
      <c r="E177" s="49"/>
      <c r="F177" s="39"/>
      <c r="H177" s="27"/>
    </row>
    <row r="178" spans="1:8" ht="15">
      <c r="A178" s="4"/>
      <c r="B178" s="4"/>
      <c r="D178" s="39"/>
      <c r="E178" s="47"/>
      <c r="F178" s="39"/>
    </row>
    <row r="179" spans="1:8" ht="15">
      <c r="A179" s="4"/>
      <c r="B179" s="4"/>
      <c r="D179" s="47"/>
      <c r="E179" s="47"/>
      <c r="F179" s="39"/>
    </row>
    <row r="180" spans="1:8" ht="15">
      <c r="A180" s="4"/>
      <c r="B180" s="4"/>
      <c r="D180" s="50"/>
      <c r="E180" s="47"/>
      <c r="F180" s="39"/>
    </row>
    <row r="181" spans="1:8" ht="15">
      <c r="A181" s="4"/>
      <c r="B181" s="4"/>
      <c r="D181" s="47"/>
      <c r="E181" s="47"/>
      <c r="F181" s="39"/>
    </row>
    <row r="182" spans="1:8" ht="15">
      <c r="A182" s="4"/>
      <c r="B182" s="4"/>
      <c r="D182" s="47"/>
      <c r="E182" s="47"/>
      <c r="F182" s="39"/>
    </row>
    <row r="183" spans="1:8" ht="15">
      <c r="A183" s="4"/>
      <c r="B183" s="4"/>
      <c r="D183" s="47"/>
      <c r="E183" s="47"/>
      <c r="F183" s="27"/>
    </row>
    <row r="184" spans="1:8" ht="15">
      <c r="A184" s="4"/>
      <c r="B184" s="4"/>
      <c r="D184" s="47"/>
      <c r="E184" s="47"/>
      <c r="F184" s="27"/>
    </row>
    <row r="185" spans="1:8" ht="15">
      <c r="A185" s="4"/>
      <c r="B185" s="4"/>
      <c r="D185" s="47"/>
      <c r="E185" s="47"/>
      <c r="F185" s="27"/>
    </row>
    <row r="186" spans="1:8" ht="15">
      <c r="A186" s="4"/>
      <c r="B186" s="4"/>
      <c r="D186" s="47"/>
      <c r="E186" s="47"/>
      <c r="F186" s="27"/>
    </row>
    <row r="187" spans="1:8" ht="15">
      <c r="A187" s="4"/>
      <c r="B187" s="4"/>
      <c r="D187" s="47"/>
      <c r="E187" s="47"/>
      <c r="F187" s="27"/>
    </row>
    <row r="188" spans="1:8" ht="15">
      <c r="A188" s="4"/>
      <c r="B188" s="4"/>
    </row>
    <row r="189" spans="1:8" ht="15">
      <c r="A189" s="4"/>
      <c r="B189" s="4"/>
    </row>
    <row r="190" spans="1:8" ht="15">
      <c r="A190" s="4"/>
      <c r="B190" s="4"/>
    </row>
    <row r="191" spans="1:8" ht="15">
      <c r="A191" s="4"/>
      <c r="B191" s="4"/>
    </row>
    <row r="192" spans="1:8" ht="15">
      <c r="A192" s="4"/>
      <c r="B192" s="4"/>
    </row>
    <row r="193" s="4" customFormat="1" ht="15"/>
    <row r="194" s="4" customFormat="1" ht="15"/>
    <row r="195" s="4" customFormat="1" ht="15"/>
    <row r="196" s="4" customFormat="1" ht="15"/>
    <row r="197" s="4" customFormat="1" ht="15"/>
    <row r="198" s="4" customFormat="1" ht="15"/>
    <row r="199" s="4" customFormat="1" ht="15"/>
    <row r="200" s="4" customFormat="1" ht="15"/>
    <row r="201" s="4" customFormat="1" ht="15"/>
    <row r="202" s="4" customFormat="1" ht="15"/>
    <row r="203" s="4" customFormat="1" ht="15"/>
    <row r="204" s="4" customFormat="1" ht="15"/>
    <row r="205" s="4" customFormat="1" ht="15"/>
    <row r="206" s="4" customFormat="1" ht="15"/>
    <row r="207" s="4" customFormat="1" ht="15"/>
    <row r="208" s="4" customFormat="1" ht="15"/>
    <row r="209" s="4" customFormat="1" ht="15"/>
    <row r="210" s="4" customFormat="1" ht="15"/>
    <row r="211" s="4" customFormat="1" ht="15"/>
    <row r="212" s="4" customFormat="1" ht="15"/>
    <row r="213" s="4" customFormat="1" ht="15"/>
    <row r="214" s="4" customFormat="1" ht="15"/>
    <row r="215" s="4" customFormat="1" ht="15"/>
    <row r="216" s="4" customFormat="1" ht="15"/>
    <row r="217" s="4" customFormat="1" ht="15"/>
    <row r="218" s="4" customFormat="1" ht="15"/>
    <row r="219" s="4" customFormat="1" ht="15"/>
    <row r="220" s="4" customFormat="1" ht="15"/>
    <row r="221" s="4" customFormat="1" ht="15"/>
    <row r="222" s="4" customFormat="1" ht="15"/>
    <row r="223" s="4" customFormat="1" ht="15"/>
    <row r="224" s="4" customFormat="1" ht="15"/>
    <row r="225" s="4" customFormat="1" ht="15"/>
    <row r="226" s="4" customFormat="1" ht="15"/>
    <row r="227" s="4" customFormat="1" ht="15"/>
    <row r="228" s="4" customFormat="1" ht="15"/>
    <row r="229" s="4" customFormat="1" ht="15"/>
    <row r="230" s="4" customFormat="1" ht="15"/>
    <row r="231" s="4" customFormat="1" ht="15"/>
    <row r="232" s="4" customFormat="1" ht="15"/>
    <row r="233" s="4" customFormat="1" ht="15"/>
    <row r="234" s="4" customFormat="1" ht="15"/>
    <row r="235" s="4" customFormat="1" ht="15"/>
    <row r="236" s="4" customFormat="1" ht="15"/>
    <row r="237" s="4" customFormat="1" ht="15"/>
    <row r="238" s="4" customFormat="1" ht="15"/>
    <row r="239" s="4" customFormat="1" ht="15"/>
    <row r="240" s="4" customFormat="1" ht="15"/>
    <row r="241" s="4" customFormat="1" ht="15"/>
    <row r="242" s="4" customFormat="1" ht="15"/>
    <row r="243" s="4" customFormat="1" ht="15"/>
    <row r="244" s="4" customFormat="1" ht="15"/>
    <row r="245" s="4" customFormat="1" ht="15"/>
    <row r="246" s="4" customFormat="1" ht="15"/>
    <row r="247" s="4" customFormat="1" ht="15"/>
    <row r="248" s="4" customFormat="1" ht="15"/>
    <row r="249" s="4" customFormat="1" ht="15"/>
    <row r="250" s="4" customFormat="1" ht="15"/>
    <row r="251" s="4" customFormat="1" ht="15"/>
    <row r="252" s="4" customFormat="1" ht="15"/>
    <row r="253" s="4" customFormat="1" ht="15"/>
    <row r="254" s="4" customFormat="1" ht="15"/>
    <row r="255" s="4" customFormat="1" ht="15"/>
    <row r="256" s="4" customFormat="1" ht="15"/>
    <row r="257" spans="1:4" ht="15">
      <c r="A257" s="4"/>
      <c r="B257" s="4"/>
    </row>
    <row r="258" spans="1:4" ht="15">
      <c r="A258" s="4"/>
      <c r="B258" s="4"/>
    </row>
    <row r="259" spans="1:4" ht="15">
      <c r="A259" s="4"/>
      <c r="B259" s="4"/>
    </row>
    <row r="260" spans="1:4" ht="15">
      <c r="A260" s="4"/>
      <c r="B260" s="4"/>
    </row>
    <row r="261" spans="1:4" ht="15">
      <c r="A261" s="4"/>
      <c r="B261" s="4"/>
    </row>
    <row r="262" spans="1:4" ht="15">
      <c r="A262" s="4"/>
      <c r="B262" s="4"/>
    </row>
    <row r="263" spans="1:4" ht="15">
      <c r="A263" s="4"/>
      <c r="B263" s="4"/>
    </row>
    <row r="264" spans="1:4" ht="15">
      <c r="A264" s="4"/>
      <c r="B264" s="4"/>
      <c r="D264" s="49"/>
    </row>
    <row r="265" spans="1:4" ht="15">
      <c r="A265" s="4"/>
      <c r="B265" s="4"/>
      <c r="D265" s="49"/>
    </row>
    <row r="266" spans="1:4" ht="15">
      <c r="A266" s="4"/>
      <c r="B266" s="4"/>
    </row>
    <row r="267" spans="1:4" ht="15">
      <c r="A267" s="4"/>
      <c r="B267" s="4"/>
    </row>
    <row r="268" spans="1:4" ht="15">
      <c r="A268" s="4"/>
      <c r="B268" s="4"/>
    </row>
    <row r="269" spans="1:4" ht="15">
      <c r="A269" s="4"/>
      <c r="B269" s="4"/>
    </row>
    <row r="270" spans="1:4" ht="15">
      <c r="A270" s="4"/>
      <c r="B270" s="4"/>
    </row>
    <row r="271" spans="1:4" ht="15">
      <c r="A271" s="4"/>
      <c r="B271" s="4"/>
    </row>
    <row r="272" spans="1:4" ht="15">
      <c r="A272" s="4"/>
      <c r="B272" s="4"/>
    </row>
    <row r="273" s="4" customFormat="1" ht="15"/>
    <row r="274" s="4" customFormat="1" ht="15"/>
    <row r="275" s="4" customFormat="1" ht="15"/>
    <row r="276" s="4" customFormat="1" ht="15"/>
    <row r="277" s="4" customFormat="1" ht="15"/>
    <row r="278" s="4" customFormat="1" ht="15"/>
    <row r="279" s="4" customFormat="1" ht="15"/>
    <row r="280" s="4" customFormat="1" ht="15"/>
    <row r="281" s="4" customFormat="1" ht="15"/>
    <row r="282" s="4" customFormat="1" ht="15"/>
    <row r="283" s="4" customFormat="1" ht="15"/>
    <row r="284" s="4" customFormat="1" ht="15"/>
    <row r="285" s="4" customFormat="1" ht="15"/>
    <row r="286" s="4" customFormat="1" ht="15"/>
    <row r="287" s="4" customFormat="1" ht="15"/>
    <row r="288" s="4" customFormat="1" ht="15"/>
    <row r="289" s="4" customFormat="1" ht="15"/>
    <row r="290" s="4" customFormat="1" ht="15"/>
    <row r="291" s="4" customFormat="1" ht="15"/>
    <row r="292" s="4" customFormat="1" ht="15"/>
    <row r="293" s="4" customFormat="1" ht="15"/>
    <row r="294" s="4" customFormat="1" ht="15"/>
    <row r="295" s="4" customFormat="1" ht="15"/>
    <row r="296" s="4" customFormat="1" ht="15"/>
    <row r="297" s="4" customFormat="1" ht="15"/>
    <row r="298" s="4" customFormat="1" ht="15"/>
    <row r="299" s="4" customFormat="1" ht="15"/>
    <row r="300" s="4" customFormat="1" ht="15"/>
    <row r="301" s="4" customFormat="1" ht="15"/>
    <row r="302" s="4" customFormat="1" ht="15"/>
    <row r="303" s="4" customFormat="1" ht="15"/>
    <row r="304" s="4" customFormat="1" ht="15"/>
    <row r="305" s="4" customFormat="1" ht="15"/>
    <row r="306" s="4" customFormat="1" ht="15"/>
    <row r="307" s="4" customFormat="1" ht="15"/>
    <row r="308" s="4" customFormat="1" ht="15"/>
    <row r="309" s="4" customFormat="1" ht="15"/>
    <row r="310" s="4" customFormat="1" ht="15"/>
    <row r="311" s="4" customFormat="1" ht="15"/>
    <row r="312" s="4" customFormat="1" ht="15"/>
    <row r="313" s="4" customFormat="1" ht="15"/>
    <row r="314" s="4" customFormat="1" ht="15"/>
    <row r="315" s="4" customFormat="1" ht="15"/>
    <row r="316" s="4" customFormat="1" ht="15"/>
    <row r="317" s="4" customFormat="1" ht="15"/>
    <row r="318" s="4" customFormat="1" ht="15"/>
    <row r="319" s="4" customFormat="1" ht="15"/>
    <row r="320" s="4" customFormat="1" ht="15"/>
    <row r="321" s="4" customFormat="1" ht="15"/>
    <row r="322" s="4" customFormat="1" ht="15"/>
    <row r="323" s="4" customFormat="1" ht="15"/>
    <row r="324" s="4" customFormat="1" ht="15"/>
    <row r="325" s="4" customFormat="1" ht="15"/>
    <row r="326" s="4" customFormat="1" ht="15"/>
    <row r="327" s="4" customFormat="1" ht="15"/>
    <row r="328" s="4" customFormat="1" ht="15"/>
    <row r="329" s="4" customFormat="1" ht="15"/>
    <row r="330" s="4" customFormat="1" ht="15"/>
    <row r="331" s="4" customFormat="1" ht="15"/>
    <row r="332" s="4" customFormat="1" ht="15"/>
    <row r="333" s="4" customFormat="1" ht="15"/>
    <row r="334" s="4" customFormat="1" ht="15"/>
    <row r="335" s="4" customFormat="1" ht="15"/>
    <row r="336" s="4" customFormat="1" ht="15"/>
    <row r="337" s="4" customFormat="1" ht="15"/>
    <row r="338" s="4" customFormat="1" ht="15"/>
    <row r="339" s="4" customFormat="1" ht="15"/>
    <row r="340" s="4" customFormat="1" ht="15"/>
    <row r="341" s="4" customFormat="1" ht="15"/>
    <row r="342" s="4" customFormat="1" ht="15"/>
    <row r="343" s="4" customFormat="1" ht="15"/>
    <row r="344" s="4" customFormat="1" ht="15"/>
    <row r="345" s="4" customFormat="1" ht="15"/>
    <row r="346" s="4" customFormat="1" ht="15"/>
    <row r="347" s="4" customFormat="1" ht="15"/>
    <row r="348" s="4" customFormat="1" ht="15"/>
    <row r="349" s="4" customFormat="1" ht="15"/>
    <row r="350" s="4" customFormat="1" ht="15"/>
    <row r="351" s="4" customFormat="1" ht="15"/>
    <row r="352" s="4" customFormat="1" ht="15"/>
    <row r="353" s="4" customFormat="1" ht="15"/>
    <row r="354" s="4" customFormat="1" ht="15"/>
    <row r="355" s="4" customFormat="1" ht="15"/>
    <row r="356" s="4" customFormat="1" ht="15"/>
    <row r="357" s="4" customFormat="1" ht="15"/>
    <row r="358" s="4" customFormat="1" ht="15"/>
    <row r="359" s="4" customFormat="1" ht="15"/>
    <row r="360" s="4" customFormat="1" ht="15"/>
    <row r="361" s="4" customFormat="1" ht="15"/>
    <row r="362" s="4" customFormat="1" ht="15"/>
    <row r="363" s="4" customFormat="1" ht="15"/>
    <row r="364" s="4" customFormat="1" ht="15"/>
    <row r="365" s="4" customFormat="1" ht="15"/>
    <row r="366" s="4" customFormat="1" ht="15"/>
    <row r="367" s="4" customFormat="1" ht="15"/>
    <row r="368" s="4" customFormat="1" ht="15"/>
    <row r="369" s="4" customFormat="1" ht="15"/>
    <row r="370" s="4" customFormat="1" ht="15"/>
    <row r="371" s="4" customFormat="1" ht="15"/>
    <row r="372" s="4" customFormat="1" ht="15"/>
    <row r="373" s="4" customFormat="1" ht="15"/>
    <row r="374" s="4" customFormat="1" ht="15"/>
    <row r="375" s="4" customFormat="1" ht="15"/>
    <row r="376" s="4" customFormat="1" ht="15"/>
    <row r="377" s="4" customFormat="1" ht="15"/>
    <row r="378" s="4" customFormat="1" ht="15"/>
    <row r="379" s="4" customFormat="1" ht="15"/>
    <row r="380" s="4" customFormat="1" ht="15"/>
    <row r="381" s="4" customFormat="1" ht="15"/>
    <row r="382" s="4" customFormat="1" ht="15"/>
    <row r="383" s="4" customFormat="1" ht="15"/>
    <row r="384" s="4" customFormat="1" ht="15"/>
    <row r="385" s="4" customFormat="1" ht="15"/>
    <row r="386" s="4" customFormat="1" ht="15"/>
    <row r="387" s="4" customFormat="1" ht="15"/>
    <row r="388" s="4" customFormat="1" ht="15"/>
    <row r="389" s="4" customFormat="1" ht="15"/>
    <row r="390" s="4" customFormat="1" ht="15"/>
    <row r="391" s="4" customFormat="1" ht="15"/>
    <row r="392" s="4" customFormat="1" ht="15"/>
    <row r="393" s="4" customFormat="1" ht="15"/>
    <row r="394" s="4" customFormat="1" ht="15"/>
    <row r="395" s="4" customFormat="1" ht="15"/>
    <row r="396" s="4" customFormat="1" ht="15"/>
    <row r="397" s="4" customFormat="1" ht="15"/>
    <row r="398" s="4" customFormat="1" ht="15"/>
    <row r="399" s="4" customFormat="1" ht="15"/>
    <row r="400" s="4" customFormat="1" ht="15"/>
    <row r="401" s="4" customFormat="1" ht="15"/>
    <row r="402" s="4" customFormat="1" ht="15"/>
    <row r="403" s="4" customFormat="1" ht="15"/>
    <row r="404" s="4" customFormat="1" ht="15"/>
    <row r="405" s="4" customFormat="1" ht="15"/>
    <row r="406" s="4" customFormat="1" ht="15"/>
    <row r="407" s="4" customFormat="1" ht="15"/>
    <row r="408" s="4" customFormat="1" ht="15"/>
    <row r="409" s="4" customFormat="1" ht="15"/>
    <row r="410" s="4" customFormat="1" ht="15"/>
    <row r="411" s="4" customFormat="1" ht="15"/>
    <row r="412" s="4" customFormat="1" ht="15"/>
    <row r="413" s="4" customFormat="1" ht="15"/>
    <row r="414" s="4" customFormat="1" ht="15"/>
    <row r="415" s="4" customFormat="1" ht="15"/>
    <row r="416" s="4" customFormat="1" ht="15"/>
    <row r="417" s="4" customFormat="1" ht="15"/>
    <row r="418" s="4" customFormat="1" ht="15"/>
    <row r="419" s="4" customFormat="1" ht="15"/>
    <row r="420" s="4" customFormat="1" ht="15"/>
    <row r="421" s="4" customFormat="1" ht="15"/>
    <row r="422" s="4" customFormat="1" ht="15"/>
    <row r="423" s="4" customFormat="1" ht="15"/>
    <row r="424" s="4" customFormat="1" ht="15"/>
    <row r="425" s="4" customFormat="1" ht="15"/>
    <row r="426" s="4" customFormat="1" ht="15"/>
    <row r="427" s="4" customFormat="1" ht="15"/>
    <row r="428" s="4" customFormat="1" ht="15"/>
    <row r="429" s="4" customFormat="1" ht="15"/>
    <row r="430" s="4" customFormat="1" ht="15"/>
    <row r="431" s="4" customFormat="1" ht="15"/>
    <row r="432" s="4" customFormat="1" ht="15"/>
    <row r="433" s="4" customFormat="1" ht="15"/>
    <row r="434" s="4" customFormat="1" ht="15"/>
    <row r="435" s="4" customFormat="1" ht="15"/>
    <row r="436" s="4" customFormat="1" ht="15"/>
    <row r="437" s="4" customFormat="1" ht="15"/>
    <row r="438" s="4" customFormat="1" ht="15"/>
    <row r="439" s="4" customFormat="1" ht="15"/>
    <row r="440" s="4" customFormat="1" ht="15"/>
    <row r="441" s="4" customFormat="1" ht="15"/>
    <row r="442" s="4" customFormat="1" ht="15"/>
    <row r="443" s="4" customFormat="1" ht="15"/>
    <row r="444" s="4" customFormat="1" ht="15"/>
    <row r="445" s="4" customFormat="1" ht="15"/>
    <row r="446" s="4" customFormat="1" ht="15"/>
    <row r="447" s="4" customFormat="1" ht="15"/>
    <row r="448" s="4" customFormat="1" ht="15"/>
    <row r="449" s="4" customFormat="1" ht="15"/>
    <row r="450" s="4" customFormat="1" ht="15"/>
    <row r="451" s="4" customFormat="1" ht="15"/>
    <row r="452" s="4" customFormat="1" ht="15"/>
    <row r="453" s="4" customFormat="1" ht="15"/>
    <row r="454" s="4" customFormat="1" ht="15"/>
    <row r="455" s="4" customFormat="1" ht="15"/>
    <row r="456" s="4" customFormat="1" ht="15"/>
    <row r="457" s="4" customFormat="1" ht="15"/>
    <row r="458" s="4" customFormat="1" ht="15"/>
    <row r="459" s="4" customFormat="1" ht="15"/>
    <row r="460" s="4" customFormat="1" ht="15"/>
    <row r="461" s="4" customFormat="1" ht="15"/>
    <row r="462" s="4" customFormat="1" ht="15"/>
    <row r="463" s="4" customFormat="1" ht="15"/>
    <row r="464" s="4" customFormat="1" ht="15"/>
    <row r="465" s="4" customFormat="1" ht="15"/>
    <row r="466" s="4" customFormat="1" ht="15"/>
    <row r="467" s="4" customFormat="1" ht="15"/>
    <row r="468" s="4" customFormat="1" ht="15"/>
    <row r="469" s="4" customFormat="1" ht="15"/>
    <row r="470" s="4" customFormat="1" ht="15"/>
    <row r="471" s="4" customFormat="1" ht="15"/>
    <row r="472" s="4" customFormat="1" ht="15"/>
    <row r="473" s="4" customFormat="1" ht="15"/>
    <row r="474" s="4" customFormat="1" ht="15"/>
    <row r="475" s="4" customFormat="1" ht="15"/>
    <row r="476" s="4" customFormat="1" ht="15"/>
    <row r="477" s="4" customFormat="1" ht="15"/>
    <row r="478" s="4" customFormat="1" ht="15"/>
    <row r="479" s="4" customFormat="1" ht="15"/>
    <row r="480" s="4" customFormat="1" ht="15"/>
    <row r="481" s="4" customFormat="1" ht="15"/>
    <row r="482" s="4" customFormat="1" ht="15"/>
    <row r="483" s="4" customFormat="1" ht="15"/>
    <row r="484" s="4" customFormat="1" ht="15"/>
    <row r="485" s="4" customFormat="1" ht="15"/>
    <row r="486" s="4" customFormat="1" ht="15"/>
    <row r="487" s="4" customFormat="1" ht="15"/>
    <row r="488" s="4" customFormat="1" ht="15"/>
    <row r="489" s="4" customFormat="1" ht="15"/>
    <row r="490" s="4" customFormat="1" ht="15"/>
    <row r="491" s="4" customFormat="1" ht="15"/>
    <row r="492" s="4" customFormat="1" ht="15"/>
    <row r="493" s="4" customFormat="1" ht="15"/>
    <row r="494" s="4" customFormat="1" ht="15"/>
    <row r="495" s="4" customFormat="1" ht="15"/>
    <row r="496" s="4" customFormat="1" ht="15"/>
    <row r="497" s="4" customFormat="1" ht="15"/>
    <row r="498" s="4" customFormat="1" ht="15"/>
    <row r="499" s="4" customFormat="1" ht="15"/>
    <row r="500" s="4" customFormat="1" ht="15"/>
    <row r="501" s="4" customFormat="1" ht="15"/>
    <row r="502" s="4" customFormat="1" ht="15"/>
    <row r="503" s="4" customFormat="1" ht="15"/>
    <row r="504" s="4" customFormat="1" ht="15"/>
    <row r="505" s="4" customFormat="1" ht="15"/>
    <row r="506" s="4" customFormat="1" ht="15"/>
    <row r="507" s="4" customFormat="1" ht="15"/>
    <row r="508" s="4" customFormat="1" ht="15"/>
    <row r="509" s="4" customFormat="1" ht="15"/>
    <row r="510" s="4" customFormat="1" ht="15"/>
    <row r="511" s="4" customFormat="1" ht="15"/>
    <row r="512" s="4" customFormat="1" ht="15"/>
    <row r="513" s="4" customFormat="1" ht="15"/>
    <row r="514" s="4" customFormat="1" ht="15"/>
    <row r="515" s="4" customFormat="1" ht="15"/>
    <row r="516" s="4" customFormat="1" ht="15"/>
    <row r="517" s="4" customFormat="1" ht="15"/>
    <row r="518" s="4" customFormat="1" ht="15"/>
    <row r="519" s="4" customFormat="1" ht="15"/>
    <row r="520" s="4" customFormat="1" ht="15"/>
    <row r="521" s="4" customFormat="1" ht="15"/>
    <row r="522" s="4" customFormat="1" ht="15"/>
    <row r="523" s="4" customFormat="1" ht="15"/>
    <row r="524" s="4" customFormat="1" ht="15"/>
    <row r="525" s="4" customFormat="1" ht="15"/>
    <row r="526" s="4" customFormat="1" ht="15"/>
    <row r="527" s="4" customFormat="1" ht="15"/>
    <row r="528" s="4" customFormat="1" ht="15"/>
    <row r="529" s="4" customFormat="1" ht="15"/>
    <row r="530" s="4" customFormat="1" ht="15"/>
    <row r="531" s="4" customFormat="1" ht="15"/>
    <row r="532" s="4" customFormat="1" ht="15"/>
    <row r="533" s="4" customFormat="1" ht="15"/>
    <row r="534" s="4" customFormat="1" ht="15"/>
    <row r="535" s="4" customFormat="1" ht="15"/>
    <row r="536" s="4" customFormat="1" ht="15"/>
    <row r="537" s="4" customFormat="1" ht="15"/>
    <row r="538" s="4" customFormat="1" ht="15"/>
    <row r="539" s="4" customFormat="1" ht="15"/>
    <row r="540" s="4" customFormat="1" ht="15"/>
    <row r="541" s="4" customFormat="1" ht="15"/>
    <row r="542" s="4" customFormat="1" ht="15"/>
    <row r="543" s="4" customFormat="1" ht="15"/>
    <row r="544" s="4" customFormat="1" ht="15"/>
    <row r="545" s="4" customFormat="1" ht="15"/>
    <row r="546" s="4" customFormat="1" ht="15"/>
    <row r="547" s="4" customFormat="1" ht="15"/>
    <row r="548" s="4" customFormat="1" ht="15"/>
    <row r="549" s="4" customFormat="1" ht="15"/>
    <row r="550" s="4" customFormat="1" ht="15"/>
    <row r="551" s="4" customFormat="1" ht="15"/>
    <row r="552" s="4" customFormat="1" ht="15"/>
    <row r="553" s="4" customFormat="1" ht="15"/>
    <row r="554" s="4" customFormat="1" ht="15"/>
    <row r="555" s="4" customFormat="1" ht="15"/>
    <row r="556" s="4" customFormat="1" ht="15"/>
    <row r="557" s="4" customFormat="1" ht="15"/>
    <row r="558" s="4" customFormat="1" ht="15"/>
    <row r="559" s="4" customFormat="1" ht="15"/>
    <row r="560" s="4" customFormat="1" ht="15"/>
    <row r="561" s="4" customFormat="1" ht="15"/>
    <row r="562" s="4" customFormat="1" ht="15"/>
    <row r="563" s="4" customFormat="1" ht="15"/>
    <row r="564" s="4" customFormat="1" ht="15"/>
    <row r="565" s="4" customFormat="1" ht="15"/>
    <row r="566" s="4" customFormat="1" ht="15"/>
    <row r="567" s="4" customFormat="1" ht="15"/>
    <row r="568" s="4" customFormat="1" ht="15"/>
    <row r="569" s="4" customFormat="1" ht="15"/>
    <row r="570" s="4" customFormat="1" ht="15"/>
    <row r="571" s="4" customFormat="1" ht="15"/>
    <row r="572" s="4" customFormat="1" ht="15"/>
    <row r="573" s="4" customFormat="1" ht="15"/>
    <row r="574" s="4" customFormat="1" ht="15"/>
    <row r="575" s="4" customFormat="1" ht="15"/>
    <row r="576" s="4" customFormat="1" ht="15"/>
    <row r="577" s="4" customFormat="1" ht="15"/>
    <row r="578" s="4" customFormat="1" ht="15"/>
    <row r="579" s="4" customFormat="1" ht="15"/>
    <row r="580" s="4" customFormat="1" ht="15"/>
    <row r="581" s="4" customFormat="1" ht="15"/>
    <row r="582" s="4" customFormat="1" ht="15"/>
    <row r="583" s="4" customFormat="1" ht="15"/>
    <row r="584" s="4" customFormat="1" ht="15"/>
    <row r="585" s="4" customFormat="1" ht="15"/>
    <row r="586" s="4" customFormat="1" ht="15"/>
    <row r="587" s="4" customFormat="1" ht="15"/>
    <row r="588" s="4" customFormat="1" ht="15"/>
    <row r="589" s="4" customFormat="1" ht="15"/>
    <row r="590" s="4" customFormat="1" ht="15"/>
    <row r="591" s="4" customFormat="1" ht="15"/>
    <row r="592" s="4" customFormat="1" ht="15"/>
    <row r="593" s="4" customFormat="1" ht="15"/>
    <row r="594" s="4" customFormat="1" ht="15"/>
    <row r="595" s="4" customFormat="1" ht="15"/>
    <row r="596" s="4" customFormat="1" ht="15"/>
    <row r="597" s="4" customFormat="1" ht="15"/>
    <row r="598" s="4" customFormat="1" ht="15"/>
    <row r="599" s="4" customFormat="1" ht="15"/>
    <row r="600" s="4" customFormat="1" ht="15"/>
    <row r="601" s="4" customFormat="1" ht="15"/>
    <row r="602" s="4" customFormat="1" ht="15"/>
    <row r="603" s="4" customFormat="1" ht="15"/>
    <row r="604" s="4" customFormat="1" ht="15"/>
    <row r="605" s="4" customFormat="1" ht="15"/>
    <row r="606" s="4" customFormat="1" ht="15"/>
    <row r="607" s="4" customFormat="1" ht="15"/>
    <row r="608" s="4" customFormat="1" ht="15"/>
    <row r="609" s="4" customFormat="1" ht="15"/>
    <row r="610" s="4" customFormat="1" ht="15"/>
    <row r="611" s="4" customFormat="1" ht="15"/>
    <row r="612" s="4" customFormat="1" ht="15"/>
    <row r="613" s="4" customFormat="1" ht="15"/>
    <row r="614" s="4" customFormat="1" ht="15"/>
    <row r="615" s="4" customFormat="1" ht="15"/>
    <row r="616" s="4" customFormat="1" ht="15"/>
    <row r="617" s="4" customFormat="1" ht="15"/>
    <row r="618" s="4" customFormat="1" ht="15"/>
    <row r="619" s="4" customFormat="1" ht="15"/>
    <row r="620" s="4" customFormat="1" ht="15"/>
    <row r="621" s="4" customFormat="1" ht="15"/>
    <row r="622" s="4" customFormat="1" ht="15"/>
    <row r="623" s="4" customFormat="1" ht="15"/>
    <row r="624" s="4" customFormat="1" ht="15"/>
    <row r="625" s="4" customFormat="1" ht="15"/>
    <row r="626" s="4" customFormat="1" ht="15"/>
    <row r="627" s="4" customFormat="1" ht="15"/>
    <row r="628" s="4" customFormat="1" ht="15"/>
    <row r="629" s="4" customFormat="1" ht="15"/>
    <row r="630" s="4" customFormat="1" ht="15"/>
    <row r="631" s="4" customFormat="1" ht="15"/>
    <row r="632" s="4" customFormat="1" ht="15"/>
    <row r="633" s="4" customFormat="1" ht="15"/>
    <row r="634" s="4" customFormat="1" ht="15"/>
    <row r="635" s="4" customFormat="1" ht="15"/>
    <row r="636" s="4" customFormat="1" ht="15"/>
    <row r="637" s="4" customFormat="1" ht="15"/>
    <row r="638" s="4" customFormat="1" ht="15"/>
    <row r="639" s="4" customFormat="1" ht="15"/>
    <row r="640" s="4" customFormat="1" ht="15"/>
    <row r="641" s="4" customFormat="1" ht="15"/>
    <row r="642" s="4" customFormat="1" ht="15"/>
    <row r="643" s="4" customFormat="1" ht="15"/>
    <row r="644" s="4" customFormat="1" ht="15"/>
    <row r="645" s="4" customFormat="1" ht="15"/>
    <row r="646" s="4" customFormat="1" ht="15"/>
    <row r="647" s="4" customFormat="1" ht="15"/>
    <row r="648" s="4" customFormat="1" ht="15"/>
    <row r="649" s="4" customFormat="1" ht="15"/>
    <row r="650" s="4" customFormat="1" ht="15"/>
    <row r="651" s="4" customFormat="1" ht="15"/>
    <row r="652" s="4" customFormat="1" ht="15"/>
    <row r="653" s="4" customFormat="1" ht="15"/>
    <row r="654" s="4" customFormat="1" ht="15"/>
    <row r="655" s="4" customFormat="1" ht="15"/>
    <row r="656" s="4" customFormat="1" ht="15"/>
    <row r="657" s="4" customFormat="1" ht="15"/>
    <row r="658" s="4" customFormat="1" ht="15"/>
    <row r="659" s="4" customFormat="1" ht="15"/>
    <row r="660" s="4" customFormat="1" ht="15"/>
    <row r="661" s="4" customFormat="1" ht="15"/>
    <row r="662" s="4" customFormat="1" ht="15"/>
    <row r="663" s="4" customFormat="1" ht="15"/>
    <row r="664" s="4" customFormat="1" ht="15"/>
    <row r="665" s="4" customFormat="1" ht="15"/>
    <row r="666" s="4" customFormat="1" ht="15"/>
    <row r="667" s="4" customFormat="1" ht="15"/>
    <row r="668" s="4" customFormat="1" ht="15"/>
    <row r="669" s="4" customFormat="1" ht="15"/>
    <row r="670" s="4" customFormat="1" ht="15"/>
    <row r="671" s="4" customFormat="1" ht="15"/>
    <row r="672" s="4" customFormat="1" ht="15"/>
    <row r="673" s="4" customFormat="1" ht="15"/>
    <row r="674" s="4" customFormat="1" ht="15"/>
    <row r="675" s="4" customFormat="1" ht="15"/>
    <row r="676" s="4" customFormat="1" ht="15"/>
    <row r="677" s="4" customFormat="1" ht="15"/>
    <row r="678" s="4" customFormat="1" ht="15"/>
    <row r="679" s="4" customFormat="1" ht="15"/>
    <row r="680" s="4" customFormat="1" ht="15"/>
    <row r="681" s="4" customFormat="1" ht="15"/>
    <row r="682" s="4" customFormat="1" ht="15"/>
    <row r="683" s="4" customFormat="1" ht="15"/>
    <row r="684" s="4" customFormat="1" ht="15"/>
    <row r="685" s="4" customFormat="1" ht="15"/>
    <row r="686" s="4" customFormat="1" ht="15"/>
    <row r="687" s="4" customFormat="1" ht="15"/>
    <row r="688" s="4" customFormat="1" ht="15"/>
    <row r="689" s="4" customFormat="1" ht="15"/>
    <row r="690" s="4" customFormat="1" ht="15"/>
    <row r="691" s="4" customFormat="1" ht="15"/>
    <row r="692" s="4" customFormat="1" ht="15"/>
    <row r="693" s="4" customFormat="1" ht="15"/>
    <row r="694" s="4" customFormat="1" ht="15"/>
    <row r="695" s="4" customFormat="1" ht="15"/>
    <row r="696" s="4" customFormat="1" ht="15"/>
    <row r="697" s="4" customFormat="1" ht="15"/>
    <row r="698" s="4" customFormat="1" ht="15"/>
    <row r="699" s="4" customFormat="1" ht="15"/>
    <row r="700" s="4" customFormat="1" ht="15"/>
    <row r="701" s="4" customFormat="1" ht="15"/>
    <row r="702" s="4" customFormat="1" ht="15"/>
    <row r="703" s="4" customFormat="1" ht="15"/>
    <row r="704" s="4" customFormat="1" ht="15"/>
    <row r="705" spans="1:7" ht="15">
      <c r="A705" s="4"/>
      <c r="B705" s="4"/>
    </row>
    <row r="711" spans="1:7">
      <c r="G711" s="20">
        <f>G60+G69</f>
        <v>0</v>
      </c>
    </row>
  </sheetData>
  <conditionalFormatting sqref="B9:B40 B43:B48 C91:C93 B81:B120 C79:C82 B50:B78 C16:C22 C7:C13 C95:C96 C84:C85">
    <cfRule type="cellIs" dxfId="78" priority="259" operator="equal">
      <formula>0</formula>
    </cfRule>
  </conditionalFormatting>
  <conditionalFormatting sqref="F153">
    <cfRule type="cellIs" dxfId="77" priority="175" operator="equal">
      <formula>0</formula>
    </cfRule>
  </conditionalFormatting>
  <conditionalFormatting sqref="E160">
    <cfRule type="cellIs" dxfId="76" priority="157" operator="equal">
      <formula>0</formula>
    </cfRule>
  </conditionalFormatting>
  <conditionalFormatting sqref="C41:C44 C73 C121:C130 C147:C151 C57 C89 C35 C29 C46 C50 C62:C63 C110 C101:C102 C114 C135:C137">
    <cfRule type="cellIs" dxfId="75" priority="99" operator="equal">
      <formula>0</formula>
    </cfRule>
  </conditionalFormatting>
  <conditionalFormatting sqref="B4 B137 B147:B149 B123:B134">
    <cfRule type="cellIs" dxfId="74" priority="100" operator="equal">
      <formula>0</formula>
    </cfRule>
  </conditionalFormatting>
  <conditionalFormatting sqref="B135">
    <cfRule type="cellIs" dxfId="73" priority="86" operator="equal">
      <formula>0</formula>
    </cfRule>
  </conditionalFormatting>
  <conditionalFormatting sqref="B138:B146">
    <cfRule type="cellIs" dxfId="72" priority="83" operator="equal">
      <formula>0</formula>
    </cfRule>
  </conditionalFormatting>
  <conditionalFormatting sqref="B151">
    <cfRule type="cellIs" dxfId="71" priority="97" operator="equal">
      <formula>0</formula>
    </cfRule>
  </conditionalFormatting>
  <conditionalFormatting sqref="B136">
    <cfRule type="cellIs" dxfId="70" priority="96" operator="equal">
      <formula>0</formula>
    </cfRule>
  </conditionalFormatting>
  <conditionalFormatting sqref="B122">
    <cfRule type="cellIs" dxfId="69" priority="95" operator="equal">
      <formula>0</formula>
    </cfRule>
  </conditionalFormatting>
  <conditionalFormatting sqref="B80">
    <cfRule type="cellIs" dxfId="68" priority="94" operator="equal">
      <formula>0</formula>
    </cfRule>
  </conditionalFormatting>
  <conditionalFormatting sqref="B42">
    <cfRule type="cellIs" dxfId="67" priority="93" operator="equal">
      <formula>0</formula>
    </cfRule>
  </conditionalFormatting>
  <conditionalFormatting sqref="B7">
    <cfRule type="cellIs" dxfId="66" priority="92" operator="equal">
      <formula>0</formula>
    </cfRule>
  </conditionalFormatting>
  <conditionalFormatting sqref="B6">
    <cfRule type="cellIs" dxfId="65" priority="91" operator="equal">
      <formula>0</formula>
    </cfRule>
  </conditionalFormatting>
  <conditionalFormatting sqref="B5">
    <cfRule type="cellIs" dxfId="64" priority="90" operator="equal">
      <formula>0</formula>
    </cfRule>
  </conditionalFormatting>
  <conditionalFormatting sqref="B41">
    <cfRule type="cellIs" dxfId="63" priority="89" operator="equal">
      <formula>0</formula>
    </cfRule>
  </conditionalFormatting>
  <conditionalFormatting sqref="B79">
    <cfRule type="cellIs" dxfId="62" priority="88" operator="equal">
      <formula>0</formula>
    </cfRule>
  </conditionalFormatting>
  <conditionalFormatting sqref="B121">
    <cfRule type="cellIs" dxfId="61" priority="87" operator="equal">
      <formula>0</formula>
    </cfRule>
  </conditionalFormatting>
  <conditionalFormatting sqref="B150">
    <cfRule type="cellIs" dxfId="60" priority="85" operator="equal">
      <formula>0</formula>
    </cfRule>
  </conditionalFormatting>
  <conditionalFormatting sqref="C23:C28 C36:C40 C54 C58:C61 C66:C70 C86:C88 C105:C109 C47:C48 C97:C100 C103 C115:C120">
    <cfRule type="cellIs" dxfId="59" priority="82" operator="equal">
      <formula>0</formula>
    </cfRule>
  </conditionalFormatting>
  <conditionalFormatting sqref="C51">
    <cfRule type="cellIs" dxfId="58" priority="81" operator="equal">
      <formula>0</formula>
    </cfRule>
  </conditionalFormatting>
  <conditionalFormatting sqref="C71">
    <cfRule type="cellIs" dxfId="57" priority="80" operator="equal">
      <formula>0</formula>
    </cfRule>
  </conditionalFormatting>
  <conditionalFormatting sqref="C104">
    <cfRule type="cellIs" dxfId="56" priority="79" operator="equal">
      <formula>0</formula>
    </cfRule>
  </conditionalFormatting>
  <conditionalFormatting sqref="B8">
    <cfRule type="cellIs" dxfId="55" priority="78" operator="equal">
      <formula>0</formula>
    </cfRule>
  </conditionalFormatting>
  <conditionalFormatting sqref="C30:C34">
    <cfRule type="cellIs" dxfId="54" priority="73" operator="equal">
      <formula>0</formula>
    </cfRule>
  </conditionalFormatting>
  <conditionalFormatting sqref="C90">
    <cfRule type="cellIs" dxfId="53" priority="72" operator="equal">
      <formula>0</formula>
    </cfRule>
  </conditionalFormatting>
  <conditionalFormatting sqref="C49">
    <cfRule type="cellIs" dxfId="52" priority="64" operator="equal">
      <formula>0</formula>
    </cfRule>
  </conditionalFormatting>
  <conditionalFormatting sqref="B49">
    <cfRule type="cellIs" dxfId="51" priority="65" operator="equal">
      <formula>0</formula>
    </cfRule>
  </conditionalFormatting>
  <conditionalFormatting sqref="C4">
    <cfRule type="cellIs" dxfId="50" priority="63" operator="equal">
      <formula>0</formula>
    </cfRule>
  </conditionalFormatting>
  <conditionalFormatting sqref="C139 C141 C143">
    <cfRule type="cellIs" dxfId="49" priority="70" operator="equal">
      <formula>0</formula>
    </cfRule>
  </conditionalFormatting>
  <conditionalFormatting sqref="C138 C140 C142 C144">
    <cfRule type="cellIs" dxfId="48" priority="68" operator="equal">
      <formula>0</formula>
    </cfRule>
  </conditionalFormatting>
  <conditionalFormatting sqref="C132:C133">
    <cfRule type="cellIs" dxfId="47" priority="66" operator="equal">
      <formula>0</formula>
    </cfRule>
  </conditionalFormatting>
  <conditionalFormatting sqref="C5">
    <cfRule type="cellIs" dxfId="46" priority="60" operator="equal">
      <formula>0</formula>
    </cfRule>
  </conditionalFormatting>
  <conditionalFormatting sqref="C6">
    <cfRule type="cellIs" dxfId="45" priority="61" operator="equal">
      <formula>0</formula>
    </cfRule>
  </conditionalFormatting>
  <conditionalFormatting sqref="C55:C56">
    <cfRule type="cellIs" dxfId="44" priority="59" operator="equal">
      <formula>0</formula>
    </cfRule>
  </conditionalFormatting>
  <conditionalFormatting sqref="C72">
    <cfRule type="cellIs" dxfId="43" priority="56" operator="equal">
      <formula>0</formula>
    </cfRule>
  </conditionalFormatting>
  <conditionalFormatting sqref="C112:C113">
    <cfRule type="cellIs" dxfId="42" priority="55" operator="equal">
      <formula>0</formula>
    </cfRule>
  </conditionalFormatting>
  <conditionalFormatting sqref="C134">
    <cfRule type="cellIs" dxfId="41" priority="53" operator="equal">
      <formula>0</formula>
    </cfRule>
  </conditionalFormatting>
  <conditionalFormatting sqref="C45">
    <cfRule type="cellIs" dxfId="40" priority="40" operator="equal">
      <formula>0</formula>
    </cfRule>
  </conditionalFormatting>
  <conditionalFormatting sqref="C145:C146">
    <cfRule type="cellIs" dxfId="39" priority="42" operator="equal">
      <formula>0</formula>
    </cfRule>
  </conditionalFormatting>
  <conditionalFormatting sqref="C14:C15">
    <cfRule type="cellIs" dxfId="38" priority="41" operator="equal">
      <formula>0</formula>
    </cfRule>
  </conditionalFormatting>
  <conditionalFormatting sqref="C64">
    <cfRule type="cellIs" dxfId="37" priority="39" operator="equal">
      <formula>0</formula>
    </cfRule>
  </conditionalFormatting>
  <conditionalFormatting sqref="C52:C53">
    <cfRule type="cellIs" dxfId="36" priority="37" operator="equal">
      <formula>0</formula>
    </cfRule>
  </conditionalFormatting>
  <conditionalFormatting sqref="C65">
    <cfRule type="cellIs" dxfId="35" priority="36" operator="equal">
      <formula>0</formula>
    </cfRule>
  </conditionalFormatting>
  <conditionalFormatting sqref="C74:C78">
    <cfRule type="cellIs" dxfId="34" priority="35" operator="equal">
      <formula>0</formula>
    </cfRule>
  </conditionalFormatting>
  <conditionalFormatting sqref="C111">
    <cfRule type="cellIs" dxfId="33" priority="34" operator="equal">
      <formula>0</formula>
    </cfRule>
  </conditionalFormatting>
  <conditionalFormatting sqref="C131">
    <cfRule type="cellIs" dxfId="32" priority="33" operator="equal">
      <formula>0</formula>
    </cfRule>
  </conditionalFormatting>
  <conditionalFormatting sqref="C94">
    <cfRule type="cellIs" dxfId="31" priority="32" operator="equal">
      <formula>0</formula>
    </cfRule>
  </conditionalFormatting>
  <conditionalFormatting sqref="C83">
    <cfRule type="cellIs" dxfId="30" priority="31" operator="equal">
      <formula>0</formula>
    </cfRule>
  </conditionalFormatting>
  <conditionalFormatting sqref="D91:N93 D79:N82 D16:N22 D7:N13 D95:N96 D84:N85">
    <cfRule type="cellIs" dxfId="29" priority="30" operator="equal">
      <formula>0</formula>
    </cfRule>
  </conditionalFormatting>
  <conditionalFormatting sqref="D41:N44 D73:N73 D121:N130 D147:N151 D57:N57 D89:N89 D35:N35 D29:N29 D46:N46 D50:N50 D62:N63 D110:N110 D101:N102 D114:N114 D135:N137">
    <cfRule type="cellIs" dxfId="28" priority="29" operator="equal">
      <formula>0</formula>
    </cfRule>
  </conditionalFormatting>
  <conditionalFormatting sqref="D23:N28 D36:N40 D54:N54 D58:N61 D66:N70 D86:N88 D105:N109 D47:N48 D97:N100 D103:N103 D115:N120">
    <cfRule type="cellIs" dxfId="27" priority="28" operator="equal">
      <formula>0</formula>
    </cfRule>
  </conditionalFormatting>
  <conditionalFormatting sqref="D51:N51">
    <cfRule type="cellIs" dxfId="26" priority="27" operator="equal">
      <formula>0</formula>
    </cfRule>
  </conditionalFormatting>
  <conditionalFormatting sqref="D71:N71">
    <cfRule type="cellIs" dxfId="25" priority="26" operator="equal">
      <formula>0</formula>
    </cfRule>
  </conditionalFormatting>
  <conditionalFormatting sqref="D104:N104">
    <cfRule type="cellIs" dxfId="24" priority="25" operator="equal">
      <formula>0</formula>
    </cfRule>
  </conditionalFormatting>
  <conditionalFormatting sqref="D30:N34">
    <cfRule type="cellIs" dxfId="23" priority="24" operator="equal">
      <formula>0</formula>
    </cfRule>
  </conditionalFormatting>
  <conditionalFormatting sqref="D90:N90">
    <cfRule type="cellIs" dxfId="22" priority="23" operator="equal">
      <formula>0</formula>
    </cfRule>
  </conditionalFormatting>
  <conditionalFormatting sqref="D49:N49">
    <cfRule type="cellIs" dxfId="21" priority="19" operator="equal">
      <formula>0</formula>
    </cfRule>
  </conditionalFormatting>
  <conditionalFormatting sqref="D4:N4">
    <cfRule type="cellIs" dxfId="20" priority="18" operator="equal">
      <formula>0</formula>
    </cfRule>
  </conditionalFormatting>
  <conditionalFormatting sqref="D139:N139 D141:N141 D143:N143">
    <cfRule type="cellIs" dxfId="19" priority="22" operator="equal">
      <formula>0</formula>
    </cfRule>
  </conditionalFormatting>
  <conditionalFormatting sqref="D138:N138 D140:N140 D142:N142 D144:N144">
    <cfRule type="cellIs" dxfId="18" priority="21" operator="equal">
      <formula>0</formula>
    </cfRule>
  </conditionalFormatting>
  <conditionalFormatting sqref="D132:N133">
    <cfRule type="cellIs" dxfId="17" priority="20" operator="equal">
      <formula>0</formula>
    </cfRule>
  </conditionalFormatting>
  <conditionalFormatting sqref="D5:N5">
    <cfRule type="cellIs" dxfId="16" priority="16" operator="equal">
      <formula>0</formula>
    </cfRule>
  </conditionalFormatting>
  <conditionalFormatting sqref="D6:N6">
    <cfRule type="cellIs" dxfId="15" priority="17" operator="equal">
      <formula>0</formula>
    </cfRule>
  </conditionalFormatting>
  <conditionalFormatting sqref="D55:N56">
    <cfRule type="cellIs" dxfId="14" priority="15" operator="equal">
      <formula>0</formula>
    </cfRule>
  </conditionalFormatting>
  <conditionalFormatting sqref="D72:N72">
    <cfRule type="cellIs" dxfId="13" priority="14" operator="equal">
      <formula>0</formula>
    </cfRule>
  </conditionalFormatting>
  <conditionalFormatting sqref="D112:N113">
    <cfRule type="cellIs" dxfId="12" priority="13" operator="equal">
      <formula>0</formula>
    </cfRule>
  </conditionalFormatting>
  <conditionalFormatting sqref="D134:N134">
    <cfRule type="cellIs" dxfId="11" priority="12" operator="equal">
      <formula>0</formula>
    </cfRule>
  </conditionalFormatting>
  <conditionalFormatting sqref="D45:N45">
    <cfRule type="cellIs" dxfId="10" priority="9" operator="equal">
      <formula>0</formula>
    </cfRule>
  </conditionalFormatting>
  <conditionalFormatting sqref="D145:N146">
    <cfRule type="cellIs" dxfId="9" priority="11" operator="equal">
      <formula>0</formula>
    </cfRule>
  </conditionalFormatting>
  <conditionalFormatting sqref="D14:N15">
    <cfRule type="cellIs" dxfId="8" priority="10" operator="equal">
      <formula>0</formula>
    </cfRule>
  </conditionalFormatting>
  <conditionalFormatting sqref="D64:N64">
    <cfRule type="cellIs" dxfId="7" priority="8" operator="equal">
      <formula>0</formula>
    </cfRule>
  </conditionalFormatting>
  <conditionalFormatting sqref="D52:N53">
    <cfRule type="cellIs" dxfId="6" priority="7" operator="equal">
      <formula>0</formula>
    </cfRule>
  </conditionalFormatting>
  <conditionalFormatting sqref="D65:N65">
    <cfRule type="cellIs" dxfId="5" priority="6" operator="equal">
      <formula>0</formula>
    </cfRule>
  </conditionalFormatting>
  <conditionalFormatting sqref="D74:N78">
    <cfRule type="cellIs" dxfId="4" priority="5" operator="equal">
      <formula>0</formula>
    </cfRule>
  </conditionalFormatting>
  <conditionalFormatting sqref="D111:N111">
    <cfRule type="cellIs" dxfId="3" priority="4" operator="equal">
      <formula>0</formula>
    </cfRule>
  </conditionalFormatting>
  <conditionalFormatting sqref="D131:N131">
    <cfRule type="cellIs" dxfId="2" priority="3" operator="equal">
      <formula>0</formula>
    </cfRule>
  </conditionalFormatting>
  <conditionalFormatting sqref="D94:N94">
    <cfRule type="cellIs" dxfId="1" priority="2" operator="equal">
      <formula>0</formula>
    </cfRule>
  </conditionalFormatting>
  <conditionalFormatting sqref="D83:N83">
    <cfRule type="cellIs" dxfId="0" priority="1" operator="equal">
      <formula>0</formula>
    </cfRule>
  </conditionalFormatting>
  <dataValidations count="1">
    <dataValidation type="list" allowBlank="1" showInputMessage="1" showErrorMessage="1" sqref="C1:N1" xr:uid="{00000000-0002-0000-0000-000000000000}">
      <formula1>Курс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C78-BAC1-B947-A5AD-DA4E73CCEEC1}">
  <dimension ref="A1:A6"/>
  <sheetViews>
    <sheetView zoomScale="120" zoomScaleNormal="120" workbookViewId="0">
      <selection activeCell="A2" sqref="A2"/>
    </sheetView>
  </sheetViews>
  <sheetFormatPr baseColWidth="10" defaultRowHeight="13"/>
  <cols>
    <col min="1" max="1" width="55.5" customWidth="1"/>
  </cols>
  <sheetData>
    <row r="1" spans="1:1">
      <c r="A1" s="67" t="s">
        <v>135</v>
      </c>
    </row>
    <row r="2" spans="1:1" ht="19">
      <c r="A2" s="11" t="s">
        <v>8</v>
      </c>
    </row>
    <row r="3" spans="1:1" ht="19">
      <c r="A3" s="11" t="s">
        <v>38</v>
      </c>
    </row>
    <row r="4" spans="1:1" ht="19">
      <c r="A4" s="11" t="s">
        <v>66</v>
      </c>
    </row>
    <row r="5" spans="1:1" ht="19">
      <c r="A5" s="11" t="s">
        <v>75</v>
      </c>
    </row>
    <row r="6" spans="1:1" ht="19">
      <c r="A6" s="1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БДР_2025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Боклан</dc:creator>
  <cp:lastModifiedBy>Вадим Сайко</cp:lastModifiedBy>
  <dcterms:created xsi:type="dcterms:W3CDTF">2025-10-29T12:17:30Z</dcterms:created>
  <dcterms:modified xsi:type="dcterms:W3CDTF">2025-11-19T08:16:27Z</dcterms:modified>
</cp:coreProperties>
</file>